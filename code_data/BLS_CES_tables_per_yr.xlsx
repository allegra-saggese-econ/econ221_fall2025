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13_ncr:1_{3CAEB322-E203-4045-B23B-DD5BFA87C90B}" xr6:coauthVersionLast="47" xr6:coauthVersionMax="47" xr10:uidLastSave="{00000000-0000-0000-0000-000000000000}"/>
  <bookViews>
    <workbookView xWindow="-27760" yWindow="2500" windowWidth="27240" windowHeight="16180" activeTab="7" xr2:uid="{8A53A73B-19E6-7642-85CB-D1E2A860797A}"/>
  </bookViews>
  <sheets>
    <sheet name="YR2022_23" sheetId="1" r:id="rId1"/>
    <sheet name="YR2021_22" sheetId="2" r:id="rId2"/>
    <sheet name="YR2020_21" sheetId="3" r:id="rId3"/>
    <sheet name="YR2019_20" sheetId="4" r:id="rId4"/>
    <sheet name="YR2018_19" sheetId="5" r:id="rId5"/>
    <sheet name="YR2017_18" sheetId="6" r:id="rId6"/>
    <sheet name="Sheet1" sheetId="7" r:id="rId7"/>
    <sheet name="Sheet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" l="1"/>
  <c r="I144" i="2"/>
  <c r="I144" i="3"/>
  <c r="I153" i="5"/>
  <c r="E11" i="8"/>
  <c r="F11" i="8"/>
  <c r="G11" i="8"/>
  <c r="H11" i="8"/>
  <c r="D11" i="8"/>
  <c r="J138" i="1"/>
  <c r="K138" i="1"/>
  <c r="L138" i="1"/>
  <c r="H138" i="1"/>
  <c r="H144" i="2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H106" i="1"/>
  <c r="I106" i="1"/>
  <c r="J106" i="1"/>
  <c r="K106" i="1"/>
  <c r="L106" i="1"/>
  <c r="H107" i="1"/>
  <c r="I107" i="1"/>
  <c r="J107" i="1"/>
  <c r="K107" i="1"/>
  <c r="L107" i="1"/>
  <c r="H108" i="1"/>
  <c r="I108" i="1"/>
  <c r="J108" i="1"/>
  <c r="K108" i="1"/>
  <c r="L108" i="1"/>
  <c r="H109" i="1"/>
  <c r="I109" i="1"/>
  <c r="J109" i="1"/>
  <c r="K109" i="1"/>
  <c r="L109" i="1"/>
  <c r="H110" i="1"/>
  <c r="I110" i="1"/>
  <c r="J110" i="1"/>
  <c r="K110" i="1"/>
  <c r="L110" i="1"/>
  <c r="H111" i="1"/>
  <c r="I111" i="1"/>
  <c r="J111" i="1"/>
  <c r="K111" i="1"/>
  <c r="L111" i="1"/>
  <c r="H112" i="1"/>
  <c r="I112" i="1"/>
  <c r="J112" i="1"/>
  <c r="K112" i="1"/>
  <c r="L112" i="1"/>
  <c r="H113" i="1"/>
  <c r="I113" i="1"/>
  <c r="J113" i="1"/>
  <c r="K113" i="1"/>
  <c r="L113" i="1"/>
  <c r="H114" i="1"/>
  <c r="I114" i="1"/>
  <c r="J114" i="1"/>
  <c r="K114" i="1"/>
  <c r="L114" i="1"/>
  <c r="H115" i="1"/>
  <c r="I115" i="1"/>
  <c r="J115" i="1"/>
  <c r="K115" i="1"/>
  <c r="L115" i="1"/>
  <c r="H116" i="1"/>
  <c r="I116" i="1"/>
  <c r="J116" i="1"/>
  <c r="K116" i="1"/>
  <c r="L116" i="1"/>
  <c r="H117" i="1"/>
  <c r="I117" i="1"/>
  <c r="J117" i="1"/>
  <c r="K117" i="1"/>
  <c r="L117" i="1"/>
  <c r="H118" i="1"/>
  <c r="I118" i="1"/>
  <c r="J118" i="1"/>
  <c r="K118" i="1"/>
  <c r="L118" i="1"/>
  <c r="H119" i="1"/>
  <c r="I119" i="1"/>
  <c r="J119" i="1"/>
  <c r="K119" i="1"/>
  <c r="L119" i="1"/>
  <c r="H120" i="1"/>
  <c r="I120" i="1"/>
  <c r="J120" i="1"/>
  <c r="K120" i="1"/>
  <c r="L120" i="1"/>
  <c r="H121" i="1"/>
  <c r="I121" i="1"/>
  <c r="J121" i="1"/>
  <c r="K121" i="1"/>
  <c r="L121" i="1"/>
  <c r="H122" i="1"/>
  <c r="I122" i="1"/>
  <c r="J122" i="1"/>
  <c r="K122" i="1"/>
  <c r="L122" i="1"/>
  <c r="H123" i="1"/>
  <c r="I123" i="1"/>
  <c r="J123" i="1"/>
  <c r="K123" i="1"/>
  <c r="L123" i="1"/>
  <c r="H124" i="1"/>
  <c r="I124" i="1"/>
  <c r="J124" i="1"/>
  <c r="K124" i="1"/>
  <c r="L124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H128" i="1"/>
  <c r="I128" i="1"/>
  <c r="J128" i="1"/>
  <c r="K128" i="1"/>
  <c r="L128" i="1"/>
  <c r="H129" i="1"/>
  <c r="I129" i="1"/>
  <c r="J129" i="1"/>
  <c r="K129" i="1"/>
  <c r="L129" i="1"/>
  <c r="H130" i="1"/>
  <c r="I130" i="1"/>
  <c r="J130" i="1"/>
  <c r="K130" i="1"/>
  <c r="L130" i="1"/>
  <c r="H131" i="1"/>
  <c r="I131" i="1"/>
  <c r="J131" i="1"/>
  <c r="K131" i="1"/>
  <c r="L131" i="1"/>
  <c r="H132" i="1"/>
  <c r="I132" i="1"/>
  <c r="J132" i="1"/>
  <c r="K132" i="1"/>
  <c r="L132" i="1"/>
  <c r="H133" i="1"/>
  <c r="I133" i="1"/>
  <c r="J133" i="1"/>
  <c r="K133" i="1"/>
  <c r="L133" i="1"/>
  <c r="H134" i="1"/>
  <c r="I134" i="1"/>
  <c r="J134" i="1"/>
  <c r="K134" i="1"/>
  <c r="L134" i="1"/>
  <c r="H135" i="1"/>
  <c r="I135" i="1"/>
  <c r="J135" i="1"/>
  <c r="K135" i="1"/>
  <c r="L135" i="1"/>
  <c r="H136" i="1"/>
  <c r="I136" i="1"/>
  <c r="J136" i="1"/>
  <c r="K136" i="1"/>
  <c r="L136" i="1"/>
  <c r="H137" i="1"/>
  <c r="I137" i="1"/>
  <c r="J137" i="1"/>
  <c r="K137" i="1"/>
  <c r="L137" i="1"/>
  <c r="L34" i="1"/>
  <c r="I34" i="1"/>
  <c r="J34" i="1"/>
  <c r="K34" i="1"/>
  <c r="H34" i="1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H50" i="2"/>
  <c r="I50" i="2"/>
  <c r="J50" i="2"/>
  <c r="K50" i="2"/>
  <c r="L50" i="2"/>
  <c r="H51" i="2"/>
  <c r="I51" i="2"/>
  <c r="J51" i="2"/>
  <c r="K51" i="2"/>
  <c r="L51" i="2"/>
  <c r="H52" i="2"/>
  <c r="I52" i="2"/>
  <c r="J52" i="2"/>
  <c r="K52" i="2"/>
  <c r="L52" i="2"/>
  <c r="H53" i="2"/>
  <c r="I53" i="2"/>
  <c r="J53" i="2"/>
  <c r="K53" i="2"/>
  <c r="L53" i="2"/>
  <c r="H54" i="2"/>
  <c r="I54" i="2"/>
  <c r="J54" i="2"/>
  <c r="K54" i="2"/>
  <c r="L54" i="2"/>
  <c r="H55" i="2"/>
  <c r="I55" i="2"/>
  <c r="J55" i="2"/>
  <c r="K55" i="2"/>
  <c r="L55" i="2"/>
  <c r="H56" i="2"/>
  <c r="I56" i="2"/>
  <c r="J56" i="2"/>
  <c r="K56" i="2"/>
  <c r="L56" i="2"/>
  <c r="H57" i="2"/>
  <c r="I57" i="2"/>
  <c r="J57" i="2"/>
  <c r="K57" i="2"/>
  <c r="L57" i="2"/>
  <c r="H58" i="2"/>
  <c r="I58" i="2"/>
  <c r="J58" i="2"/>
  <c r="K58" i="2"/>
  <c r="L58" i="2"/>
  <c r="H59" i="2"/>
  <c r="I59" i="2"/>
  <c r="J59" i="2"/>
  <c r="K59" i="2"/>
  <c r="L59" i="2"/>
  <c r="H60" i="2"/>
  <c r="I60" i="2"/>
  <c r="J60" i="2"/>
  <c r="K60" i="2"/>
  <c r="L60" i="2"/>
  <c r="H61" i="2"/>
  <c r="I61" i="2"/>
  <c r="J61" i="2"/>
  <c r="K61" i="2"/>
  <c r="L61" i="2"/>
  <c r="H62" i="2"/>
  <c r="I62" i="2"/>
  <c r="J62" i="2"/>
  <c r="K62" i="2"/>
  <c r="L62" i="2"/>
  <c r="H63" i="2"/>
  <c r="I63" i="2"/>
  <c r="J63" i="2"/>
  <c r="K63" i="2"/>
  <c r="L63" i="2"/>
  <c r="H64" i="2"/>
  <c r="I64" i="2"/>
  <c r="J64" i="2"/>
  <c r="K64" i="2"/>
  <c r="L64" i="2"/>
  <c r="H65" i="2"/>
  <c r="I65" i="2"/>
  <c r="J65" i="2"/>
  <c r="K65" i="2"/>
  <c r="L65" i="2"/>
  <c r="H66" i="2"/>
  <c r="I66" i="2"/>
  <c r="J66" i="2"/>
  <c r="K66" i="2"/>
  <c r="L66" i="2"/>
  <c r="H67" i="2"/>
  <c r="I67" i="2"/>
  <c r="J67" i="2"/>
  <c r="K67" i="2"/>
  <c r="L67" i="2"/>
  <c r="H68" i="2"/>
  <c r="I68" i="2"/>
  <c r="J68" i="2"/>
  <c r="K68" i="2"/>
  <c r="L68" i="2"/>
  <c r="H69" i="2"/>
  <c r="I69" i="2"/>
  <c r="J69" i="2"/>
  <c r="K69" i="2"/>
  <c r="L69" i="2"/>
  <c r="H70" i="2"/>
  <c r="I70" i="2"/>
  <c r="J70" i="2"/>
  <c r="K70" i="2"/>
  <c r="L70" i="2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L73" i="2"/>
  <c r="H74" i="2"/>
  <c r="I74" i="2"/>
  <c r="J74" i="2"/>
  <c r="K74" i="2"/>
  <c r="L74" i="2"/>
  <c r="H75" i="2"/>
  <c r="I75" i="2"/>
  <c r="J75" i="2"/>
  <c r="K75" i="2"/>
  <c r="L75" i="2"/>
  <c r="H76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79" i="2"/>
  <c r="I79" i="2"/>
  <c r="J79" i="2"/>
  <c r="K79" i="2"/>
  <c r="L79" i="2"/>
  <c r="H80" i="2"/>
  <c r="I80" i="2"/>
  <c r="J80" i="2"/>
  <c r="K80" i="2"/>
  <c r="L80" i="2"/>
  <c r="H81" i="2"/>
  <c r="I81" i="2"/>
  <c r="J81" i="2"/>
  <c r="K81" i="2"/>
  <c r="L81" i="2"/>
  <c r="H82" i="2"/>
  <c r="I82" i="2"/>
  <c r="J82" i="2"/>
  <c r="K82" i="2"/>
  <c r="L82" i="2"/>
  <c r="H83" i="2"/>
  <c r="I83" i="2"/>
  <c r="J83" i="2"/>
  <c r="K83" i="2"/>
  <c r="L83" i="2"/>
  <c r="H84" i="2"/>
  <c r="I84" i="2"/>
  <c r="J84" i="2"/>
  <c r="K84" i="2"/>
  <c r="L84" i="2"/>
  <c r="H85" i="2"/>
  <c r="I85" i="2"/>
  <c r="J85" i="2"/>
  <c r="K85" i="2"/>
  <c r="L85" i="2"/>
  <c r="H86" i="2"/>
  <c r="I86" i="2"/>
  <c r="J86" i="2"/>
  <c r="K86" i="2"/>
  <c r="L86" i="2"/>
  <c r="H87" i="2"/>
  <c r="I87" i="2"/>
  <c r="J87" i="2"/>
  <c r="K87" i="2"/>
  <c r="L87" i="2"/>
  <c r="H88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H93" i="2"/>
  <c r="I93" i="2"/>
  <c r="J93" i="2"/>
  <c r="K93" i="2"/>
  <c r="L93" i="2"/>
  <c r="H94" i="2"/>
  <c r="I94" i="2"/>
  <c r="J94" i="2"/>
  <c r="K94" i="2"/>
  <c r="L94" i="2"/>
  <c r="H95" i="2"/>
  <c r="I95" i="2"/>
  <c r="J95" i="2"/>
  <c r="K95" i="2"/>
  <c r="L95" i="2"/>
  <c r="H96" i="2"/>
  <c r="I96" i="2"/>
  <c r="J96" i="2"/>
  <c r="K96" i="2"/>
  <c r="L96" i="2"/>
  <c r="H97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0" i="2"/>
  <c r="I100" i="2"/>
  <c r="J100" i="2"/>
  <c r="K100" i="2"/>
  <c r="L100" i="2"/>
  <c r="H101" i="2"/>
  <c r="I101" i="2"/>
  <c r="J101" i="2"/>
  <c r="K101" i="2"/>
  <c r="L101" i="2"/>
  <c r="H102" i="2"/>
  <c r="I102" i="2"/>
  <c r="J102" i="2"/>
  <c r="K102" i="2"/>
  <c r="L102" i="2"/>
  <c r="H103" i="2"/>
  <c r="I103" i="2"/>
  <c r="J103" i="2"/>
  <c r="K103" i="2"/>
  <c r="L103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8" i="2"/>
  <c r="I108" i="2"/>
  <c r="J108" i="2"/>
  <c r="K108" i="2"/>
  <c r="L108" i="2"/>
  <c r="H109" i="2"/>
  <c r="I109" i="2"/>
  <c r="J109" i="2"/>
  <c r="K109" i="2"/>
  <c r="L109" i="2"/>
  <c r="H110" i="2"/>
  <c r="I110" i="2"/>
  <c r="J110" i="2"/>
  <c r="K110" i="2"/>
  <c r="L110" i="2"/>
  <c r="H111" i="2"/>
  <c r="I111" i="2"/>
  <c r="J111" i="2"/>
  <c r="K111" i="2"/>
  <c r="L111" i="2"/>
  <c r="H112" i="2"/>
  <c r="I112" i="2"/>
  <c r="J112" i="2"/>
  <c r="K112" i="2"/>
  <c r="L112" i="2"/>
  <c r="H113" i="2"/>
  <c r="I113" i="2"/>
  <c r="J113" i="2"/>
  <c r="K113" i="2"/>
  <c r="L113" i="2"/>
  <c r="H114" i="2"/>
  <c r="I114" i="2"/>
  <c r="J114" i="2"/>
  <c r="K114" i="2"/>
  <c r="L114" i="2"/>
  <c r="H115" i="2"/>
  <c r="I115" i="2"/>
  <c r="J115" i="2"/>
  <c r="K115" i="2"/>
  <c r="L115" i="2"/>
  <c r="H116" i="2"/>
  <c r="I116" i="2"/>
  <c r="J116" i="2"/>
  <c r="K116" i="2"/>
  <c r="L116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3" i="2"/>
  <c r="I123" i="2"/>
  <c r="J123" i="2"/>
  <c r="K123" i="2"/>
  <c r="L123" i="2"/>
  <c r="H124" i="2"/>
  <c r="I124" i="2"/>
  <c r="J124" i="2"/>
  <c r="K124" i="2"/>
  <c r="L124" i="2"/>
  <c r="H125" i="2"/>
  <c r="I125" i="2"/>
  <c r="J125" i="2"/>
  <c r="K125" i="2"/>
  <c r="L125" i="2"/>
  <c r="H126" i="2"/>
  <c r="I126" i="2"/>
  <c r="J126" i="2"/>
  <c r="K126" i="2"/>
  <c r="L126" i="2"/>
  <c r="H127" i="2"/>
  <c r="I127" i="2"/>
  <c r="J127" i="2"/>
  <c r="K127" i="2"/>
  <c r="L127" i="2"/>
  <c r="H128" i="2"/>
  <c r="I128" i="2"/>
  <c r="J128" i="2"/>
  <c r="K128" i="2"/>
  <c r="L128" i="2"/>
  <c r="H129" i="2"/>
  <c r="I129" i="2"/>
  <c r="J129" i="2"/>
  <c r="K129" i="2"/>
  <c r="L129" i="2"/>
  <c r="H130" i="2"/>
  <c r="I130" i="2"/>
  <c r="J130" i="2"/>
  <c r="K130" i="2"/>
  <c r="L130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H140" i="2"/>
  <c r="I140" i="2"/>
  <c r="J140" i="2"/>
  <c r="K140" i="2"/>
  <c r="L140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I36" i="2"/>
  <c r="J36" i="2"/>
  <c r="K36" i="2"/>
  <c r="L36" i="2"/>
  <c r="H36" i="2"/>
  <c r="H142" i="3"/>
  <c r="I142" i="3"/>
  <c r="J142" i="3"/>
  <c r="K142" i="3"/>
  <c r="L142" i="3"/>
  <c r="H143" i="3"/>
  <c r="I143" i="3"/>
  <c r="J143" i="3"/>
  <c r="K143" i="3"/>
  <c r="L143" i="3"/>
  <c r="H63" i="3"/>
  <c r="I63" i="3"/>
  <c r="J63" i="3"/>
  <c r="K63" i="3"/>
  <c r="L63" i="3"/>
  <c r="H64" i="3"/>
  <c r="H144" i="3" s="1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67" i="3"/>
  <c r="I67" i="3"/>
  <c r="J67" i="3"/>
  <c r="K67" i="3"/>
  <c r="L67" i="3"/>
  <c r="H68" i="3"/>
  <c r="I68" i="3"/>
  <c r="J68" i="3"/>
  <c r="K68" i="3"/>
  <c r="L68" i="3"/>
  <c r="H69" i="3"/>
  <c r="I69" i="3"/>
  <c r="J69" i="3"/>
  <c r="K69" i="3"/>
  <c r="L69" i="3"/>
  <c r="H70" i="3"/>
  <c r="I70" i="3"/>
  <c r="J70" i="3"/>
  <c r="K70" i="3"/>
  <c r="L70" i="3"/>
  <c r="H71" i="3"/>
  <c r="I71" i="3"/>
  <c r="J71" i="3"/>
  <c r="K71" i="3"/>
  <c r="L71" i="3"/>
  <c r="H72" i="3"/>
  <c r="I72" i="3"/>
  <c r="J72" i="3"/>
  <c r="K72" i="3"/>
  <c r="L72" i="3"/>
  <c r="H73" i="3"/>
  <c r="I73" i="3"/>
  <c r="J73" i="3"/>
  <c r="K73" i="3"/>
  <c r="L73" i="3"/>
  <c r="H74" i="3"/>
  <c r="I74" i="3"/>
  <c r="J74" i="3"/>
  <c r="K74" i="3"/>
  <c r="L74" i="3"/>
  <c r="H75" i="3"/>
  <c r="I75" i="3"/>
  <c r="J75" i="3"/>
  <c r="K75" i="3"/>
  <c r="L75" i="3"/>
  <c r="H76" i="3"/>
  <c r="I76" i="3"/>
  <c r="J76" i="3"/>
  <c r="K76" i="3"/>
  <c r="L76" i="3"/>
  <c r="H77" i="3"/>
  <c r="I77" i="3"/>
  <c r="J77" i="3"/>
  <c r="K77" i="3"/>
  <c r="L77" i="3"/>
  <c r="H78" i="3"/>
  <c r="I78" i="3"/>
  <c r="J78" i="3"/>
  <c r="K78" i="3"/>
  <c r="L78" i="3"/>
  <c r="H79" i="3"/>
  <c r="I79" i="3"/>
  <c r="J79" i="3"/>
  <c r="K79" i="3"/>
  <c r="L79" i="3"/>
  <c r="H80" i="3"/>
  <c r="I80" i="3"/>
  <c r="J80" i="3"/>
  <c r="K80" i="3"/>
  <c r="L80" i="3"/>
  <c r="H81" i="3"/>
  <c r="I81" i="3"/>
  <c r="J81" i="3"/>
  <c r="K81" i="3"/>
  <c r="L81" i="3"/>
  <c r="H82" i="3"/>
  <c r="I82" i="3"/>
  <c r="J82" i="3"/>
  <c r="K82" i="3"/>
  <c r="L82" i="3"/>
  <c r="H83" i="3"/>
  <c r="I83" i="3"/>
  <c r="J83" i="3"/>
  <c r="K83" i="3"/>
  <c r="L83" i="3"/>
  <c r="H84" i="3"/>
  <c r="I84" i="3"/>
  <c r="J84" i="3"/>
  <c r="K84" i="3"/>
  <c r="L84" i="3"/>
  <c r="H85" i="3"/>
  <c r="I85" i="3"/>
  <c r="J85" i="3"/>
  <c r="K85" i="3"/>
  <c r="L85" i="3"/>
  <c r="H86" i="3"/>
  <c r="I86" i="3"/>
  <c r="J86" i="3"/>
  <c r="K86" i="3"/>
  <c r="L86" i="3"/>
  <c r="H87" i="3"/>
  <c r="I87" i="3"/>
  <c r="J87" i="3"/>
  <c r="K87" i="3"/>
  <c r="L87" i="3"/>
  <c r="H88" i="3"/>
  <c r="I88" i="3"/>
  <c r="J88" i="3"/>
  <c r="K88" i="3"/>
  <c r="L88" i="3"/>
  <c r="H89" i="3"/>
  <c r="I89" i="3"/>
  <c r="J89" i="3"/>
  <c r="K89" i="3"/>
  <c r="L89" i="3"/>
  <c r="H90" i="3"/>
  <c r="I90" i="3"/>
  <c r="J90" i="3"/>
  <c r="K90" i="3"/>
  <c r="L90" i="3"/>
  <c r="H91" i="3"/>
  <c r="I91" i="3"/>
  <c r="J91" i="3"/>
  <c r="K91" i="3"/>
  <c r="L91" i="3"/>
  <c r="H92" i="3"/>
  <c r="I92" i="3"/>
  <c r="J92" i="3"/>
  <c r="K92" i="3"/>
  <c r="L92" i="3"/>
  <c r="H93" i="3"/>
  <c r="I93" i="3"/>
  <c r="J93" i="3"/>
  <c r="K93" i="3"/>
  <c r="L93" i="3"/>
  <c r="H94" i="3"/>
  <c r="I94" i="3"/>
  <c r="J94" i="3"/>
  <c r="K94" i="3"/>
  <c r="L94" i="3"/>
  <c r="H95" i="3"/>
  <c r="I95" i="3"/>
  <c r="J95" i="3"/>
  <c r="K95" i="3"/>
  <c r="L95" i="3"/>
  <c r="H96" i="3"/>
  <c r="I96" i="3"/>
  <c r="J96" i="3"/>
  <c r="K96" i="3"/>
  <c r="L96" i="3"/>
  <c r="H97" i="3"/>
  <c r="I97" i="3"/>
  <c r="J97" i="3"/>
  <c r="K97" i="3"/>
  <c r="L97" i="3"/>
  <c r="H98" i="3"/>
  <c r="I98" i="3"/>
  <c r="J98" i="3"/>
  <c r="K98" i="3"/>
  <c r="L98" i="3"/>
  <c r="H99" i="3"/>
  <c r="I99" i="3"/>
  <c r="J99" i="3"/>
  <c r="K99" i="3"/>
  <c r="L99" i="3"/>
  <c r="H100" i="3"/>
  <c r="I100" i="3"/>
  <c r="J100" i="3"/>
  <c r="K100" i="3"/>
  <c r="L100" i="3"/>
  <c r="H101" i="3"/>
  <c r="I101" i="3"/>
  <c r="J101" i="3"/>
  <c r="K101" i="3"/>
  <c r="L101" i="3"/>
  <c r="H102" i="3"/>
  <c r="I102" i="3"/>
  <c r="J102" i="3"/>
  <c r="K102" i="3"/>
  <c r="L102" i="3"/>
  <c r="H103" i="3"/>
  <c r="I103" i="3"/>
  <c r="J103" i="3"/>
  <c r="K103" i="3"/>
  <c r="L103" i="3"/>
  <c r="H104" i="3"/>
  <c r="I104" i="3"/>
  <c r="J104" i="3"/>
  <c r="K104" i="3"/>
  <c r="L104" i="3"/>
  <c r="H105" i="3"/>
  <c r="I105" i="3"/>
  <c r="J105" i="3"/>
  <c r="K105" i="3"/>
  <c r="L105" i="3"/>
  <c r="H106" i="3"/>
  <c r="I106" i="3"/>
  <c r="J106" i="3"/>
  <c r="K106" i="3"/>
  <c r="L106" i="3"/>
  <c r="H107" i="3"/>
  <c r="I107" i="3"/>
  <c r="J107" i="3"/>
  <c r="K107" i="3"/>
  <c r="L107" i="3"/>
  <c r="H108" i="3"/>
  <c r="I108" i="3"/>
  <c r="J108" i="3"/>
  <c r="K108" i="3"/>
  <c r="L108" i="3"/>
  <c r="H109" i="3"/>
  <c r="I109" i="3"/>
  <c r="J109" i="3"/>
  <c r="K109" i="3"/>
  <c r="L109" i="3"/>
  <c r="H110" i="3"/>
  <c r="I110" i="3"/>
  <c r="J110" i="3"/>
  <c r="K110" i="3"/>
  <c r="L110" i="3"/>
  <c r="H111" i="3"/>
  <c r="I111" i="3"/>
  <c r="J111" i="3"/>
  <c r="K111" i="3"/>
  <c r="L111" i="3"/>
  <c r="H112" i="3"/>
  <c r="I112" i="3"/>
  <c r="J112" i="3"/>
  <c r="K112" i="3"/>
  <c r="L112" i="3"/>
  <c r="H113" i="3"/>
  <c r="I113" i="3"/>
  <c r="J113" i="3"/>
  <c r="K113" i="3"/>
  <c r="L113" i="3"/>
  <c r="H114" i="3"/>
  <c r="I114" i="3"/>
  <c r="J114" i="3"/>
  <c r="K114" i="3"/>
  <c r="L114" i="3"/>
  <c r="H115" i="3"/>
  <c r="I115" i="3"/>
  <c r="J115" i="3"/>
  <c r="K115" i="3"/>
  <c r="L115" i="3"/>
  <c r="H116" i="3"/>
  <c r="I116" i="3"/>
  <c r="J116" i="3"/>
  <c r="K116" i="3"/>
  <c r="L116" i="3"/>
  <c r="H117" i="3"/>
  <c r="I117" i="3"/>
  <c r="J117" i="3"/>
  <c r="K117" i="3"/>
  <c r="L117" i="3"/>
  <c r="H118" i="3"/>
  <c r="I118" i="3"/>
  <c r="J118" i="3"/>
  <c r="K118" i="3"/>
  <c r="L118" i="3"/>
  <c r="H119" i="3"/>
  <c r="I119" i="3"/>
  <c r="J119" i="3"/>
  <c r="K119" i="3"/>
  <c r="L119" i="3"/>
  <c r="H120" i="3"/>
  <c r="I120" i="3"/>
  <c r="J120" i="3"/>
  <c r="K120" i="3"/>
  <c r="L120" i="3"/>
  <c r="H121" i="3"/>
  <c r="I121" i="3"/>
  <c r="J121" i="3"/>
  <c r="K121" i="3"/>
  <c r="L121" i="3"/>
  <c r="H122" i="3"/>
  <c r="I122" i="3"/>
  <c r="J122" i="3"/>
  <c r="K122" i="3"/>
  <c r="L122" i="3"/>
  <c r="H123" i="3"/>
  <c r="I123" i="3"/>
  <c r="J123" i="3"/>
  <c r="K123" i="3"/>
  <c r="L123" i="3"/>
  <c r="H124" i="3"/>
  <c r="I124" i="3"/>
  <c r="J124" i="3"/>
  <c r="K124" i="3"/>
  <c r="L124" i="3"/>
  <c r="H125" i="3"/>
  <c r="I125" i="3"/>
  <c r="J125" i="3"/>
  <c r="K125" i="3"/>
  <c r="L125" i="3"/>
  <c r="H126" i="3"/>
  <c r="I126" i="3"/>
  <c r="J126" i="3"/>
  <c r="K126" i="3"/>
  <c r="L126" i="3"/>
  <c r="H127" i="3"/>
  <c r="I127" i="3"/>
  <c r="J127" i="3"/>
  <c r="K127" i="3"/>
  <c r="L127" i="3"/>
  <c r="H128" i="3"/>
  <c r="I128" i="3"/>
  <c r="J128" i="3"/>
  <c r="K128" i="3"/>
  <c r="L128" i="3"/>
  <c r="H129" i="3"/>
  <c r="I129" i="3"/>
  <c r="J129" i="3"/>
  <c r="K129" i="3"/>
  <c r="L129" i="3"/>
  <c r="H130" i="3"/>
  <c r="I130" i="3"/>
  <c r="J130" i="3"/>
  <c r="K130" i="3"/>
  <c r="L130" i="3"/>
  <c r="H131" i="3"/>
  <c r="I131" i="3"/>
  <c r="J131" i="3"/>
  <c r="K131" i="3"/>
  <c r="L131" i="3"/>
  <c r="H132" i="3"/>
  <c r="I132" i="3"/>
  <c r="J132" i="3"/>
  <c r="K132" i="3"/>
  <c r="L132" i="3"/>
  <c r="H133" i="3"/>
  <c r="I133" i="3"/>
  <c r="J133" i="3"/>
  <c r="K133" i="3"/>
  <c r="L133" i="3"/>
  <c r="H134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H138" i="3"/>
  <c r="I138" i="3"/>
  <c r="J138" i="3"/>
  <c r="K138" i="3"/>
  <c r="L138" i="3"/>
  <c r="H139" i="3"/>
  <c r="I139" i="3"/>
  <c r="J139" i="3"/>
  <c r="K139" i="3"/>
  <c r="L139" i="3"/>
  <c r="H140" i="3"/>
  <c r="I140" i="3"/>
  <c r="J140" i="3"/>
  <c r="K140" i="3"/>
  <c r="L140" i="3"/>
  <c r="H141" i="3"/>
  <c r="I141" i="3"/>
  <c r="J141" i="3"/>
  <c r="K141" i="3"/>
  <c r="L141" i="3"/>
  <c r="H37" i="3"/>
  <c r="I37" i="3"/>
  <c r="J37" i="3"/>
  <c r="K37" i="3"/>
  <c r="L37" i="3"/>
  <c r="H38" i="3"/>
  <c r="I38" i="3"/>
  <c r="J38" i="3"/>
  <c r="K38" i="3"/>
  <c r="L38" i="3"/>
  <c r="H39" i="3"/>
  <c r="I39" i="3"/>
  <c r="J39" i="3"/>
  <c r="K39" i="3"/>
  <c r="L39" i="3"/>
  <c r="H40" i="3"/>
  <c r="I40" i="3"/>
  <c r="J40" i="3"/>
  <c r="K40" i="3"/>
  <c r="L40" i="3"/>
  <c r="H41" i="3"/>
  <c r="I41" i="3"/>
  <c r="J41" i="3"/>
  <c r="K41" i="3"/>
  <c r="L41" i="3"/>
  <c r="H42" i="3"/>
  <c r="I42" i="3"/>
  <c r="J42" i="3"/>
  <c r="K42" i="3"/>
  <c r="L42" i="3"/>
  <c r="H43" i="3"/>
  <c r="I43" i="3"/>
  <c r="J43" i="3"/>
  <c r="K43" i="3"/>
  <c r="L43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48" i="3"/>
  <c r="I48" i="3"/>
  <c r="J48" i="3"/>
  <c r="K48" i="3"/>
  <c r="L48" i="3"/>
  <c r="H49" i="3"/>
  <c r="I49" i="3"/>
  <c r="J49" i="3"/>
  <c r="K49" i="3"/>
  <c r="L49" i="3"/>
  <c r="H50" i="3"/>
  <c r="I50" i="3"/>
  <c r="J50" i="3"/>
  <c r="K50" i="3"/>
  <c r="L50" i="3"/>
  <c r="H51" i="3"/>
  <c r="I51" i="3"/>
  <c r="J51" i="3"/>
  <c r="K51" i="3"/>
  <c r="L51" i="3"/>
  <c r="H52" i="3"/>
  <c r="I52" i="3"/>
  <c r="J52" i="3"/>
  <c r="K52" i="3"/>
  <c r="L52" i="3"/>
  <c r="H53" i="3"/>
  <c r="I53" i="3"/>
  <c r="J53" i="3"/>
  <c r="K53" i="3"/>
  <c r="L53" i="3"/>
  <c r="H54" i="3"/>
  <c r="I54" i="3"/>
  <c r="J54" i="3"/>
  <c r="K54" i="3"/>
  <c r="L54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0" i="3"/>
  <c r="I60" i="3"/>
  <c r="J60" i="3"/>
  <c r="K60" i="3"/>
  <c r="L60" i="3"/>
  <c r="H61" i="3"/>
  <c r="I61" i="3"/>
  <c r="J61" i="3"/>
  <c r="K61" i="3"/>
  <c r="L61" i="3"/>
  <c r="H62" i="3"/>
  <c r="I62" i="3"/>
  <c r="J62" i="3"/>
  <c r="K62" i="3"/>
  <c r="L62" i="3"/>
  <c r="I36" i="3"/>
  <c r="J36" i="3"/>
  <c r="K36" i="3"/>
  <c r="L36" i="3"/>
  <c r="H36" i="3"/>
  <c r="H38" i="4"/>
  <c r="L145" i="4"/>
  <c r="L146" i="4" s="1"/>
  <c r="K145" i="4"/>
  <c r="K146" i="4" s="1"/>
  <c r="J145" i="4"/>
  <c r="I145" i="4"/>
  <c r="H145" i="4"/>
  <c r="L143" i="4"/>
  <c r="K143" i="4"/>
  <c r="J143" i="4"/>
  <c r="I143" i="4"/>
  <c r="H143" i="4"/>
  <c r="L142" i="4"/>
  <c r="K142" i="4"/>
  <c r="J142" i="4"/>
  <c r="I142" i="4"/>
  <c r="H142" i="4"/>
  <c r="L141" i="4"/>
  <c r="K141" i="4"/>
  <c r="J141" i="4"/>
  <c r="I141" i="4"/>
  <c r="H141" i="4"/>
  <c r="L140" i="4"/>
  <c r="K140" i="4"/>
  <c r="J140" i="4"/>
  <c r="I140" i="4"/>
  <c r="H140" i="4"/>
  <c r="L139" i="4"/>
  <c r="K139" i="4"/>
  <c r="J139" i="4"/>
  <c r="I139" i="4"/>
  <c r="H139" i="4"/>
  <c r="L138" i="4"/>
  <c r="K138" i="4"/>
  <c r="J138" i="4"/>
  <c r="I138" i="4"/>
  <c r="H138" i="4"/>
  <c r="L137" i="4"/>
  <c r="K137" i="4"/>
  <c r="J137" i="4"/>
  <c r="I137" i="4"/>
  <c r="H137" i="4"/>
  <c r="L136" i="4"/>
  <c r="K136" i="4"/>
  <c r="J136" i="4"/>
  <c r="I136" i="4"/>
  <c r="H136" i="4"/>
  <c r="L135" i="4"/>
  <c r="K135" i="4"/>
  <c r="J135" i="4"/>
  <c r="I135" i="4"/>
  <c r="H135" i="4"/>
  <c r="L134" i="4"/>
  <c r="K134" i="4"/>
  <c r="J134" i="4"/>
  <c r="I134" i="4"/>
  <c r="H134" i="4"/>
  <c r="L133" i="4"/>
  <c r="K133" i="4"/>
  <c r="J133" i="4"/>
  <c r="I133" i="4"/>
  <c r="H133" i="4"/>
  <c r="L132" i="4"/>
  <c r="K132" i="4"/>
  <c r="J132" i="4"/>
  <c r="I132" i="4"/>
  <c r="H132" i="4"/>
  <c r="L131" i="4"/>
  <c r="K131" i="4"/>
  <c r="J131" i="4"/>
  <c r="I131" i="4"/>
  <c r="H131" i="4"/>
  <c r="L130" i="4"/>
  <c r="K130" i="4"/>
  <c r="J130" i="4"/>
  <c r="I130" i="4"/>
  <c r="H130" i="4"/>
  <c r="L129" i="4"/>
  <c r="K129" i="4"/>
  <c r="J129" i="4"/>
  <c r="I129" i="4"/>
  <c r="H129" i="4"/>
  <c r="L128" i="4"/>
  <c r="K128" i="4"/>
  <c r="J128" i="4"/>
  <c r="I128" i="4"/>
  <c r="H128" i="4"/>
  <c r="L127" i="4"/>
  <c r="K127" i="4"/>
  <c r="J127" i="4"/>
  <c r="I127" i="4"/>
  <c r="H127" i="4"/>
  <c r="L126" i="4"/>
  <c r="K126" i="4"/>
  <c r="J126" i="4"/>
  <c r="I126" i="4"/>
  <c r="H126" i="4"/>
  <c r="L125" i="4"/>
  <c r="K125" i="4"/>
  <c r="J125" i="4"/>
  <c r="I125" i="4"/>
  <c r="H125" i="4"/>
  <c r="L124" i="4"/>
  <c r="K124" i="4"/>
  <c r="J124" i="4"/>
  <c r="I124" i="4"/>
  <c r="H124" i="4"/>
  <c r="L123" i="4"/>
  <c r="K123" i="4"/>
  <c r="J123" i="4"/>
  <c r="I123" i="4"/>
  <c r="H123" i="4"/>
  <c r="L110" i="4"/>
  <c r="K110" i="4"/>
  <c r="J110" i="4"/>
  <c r="I110" i="4"/>
  <c r="H110" i="4"/>
  <c r="L99" i="4"/>
  <c r="K99" i="4"/>
  <c r="J99" i="4"/>
  <c r="J146" i="4" s="1"/>
  <c r="I99" i="4"/>
  <c r="I146" i="4" s="1"/>
  <c r="H99" i="4"/>
  <c r="H146" i="4" s="1"/>
  <c r="M146" i="4" s="1"/>
  <c r="L97" i="4"/>
  <c r="K97" i="4"/>
  <c r="J97" i="4"/>
  <c r="I97" i="4"/>
  <c r="H97" i="4"/>
  <c r="L96" i="4"/>
  <c r="K96" i="4"/>
  <c r="J96" i="4"/>
  <c r="I96" i="4"/>
  <c r="H96" i="4"/>
  <c r="L95" i="4"/>
  <c r="K95" i="4"/>
  <c r="J95" i="4"/>
  <c r="I95" i="4"/>
  <c r="H95" i="4"/>
  <c r="L94" i="4"/>
  <c r="K94" i="4"/>
  <c r="J94" i="4"/>
  <c r="I94" i="4"/>
  <c r="H94" i="4"/>
  <c r="L93" i="4"/>
  <c r="K93" i="4"/>
  <c r="J93" i="4"/>
  <c r="I93" i="4"/>
  <c r="H93" i="4"/>
  <c r="L92" i="4"/>
  <c r="K92" i="4"/>
  <c r="J92" i="4"/>
  <c r="I92" i="4"/>
  <c r="H92" i="4"/>
  <c r="L91" i="4"/>
  <c r="K91" i="4"/>
  <c r="J91" i="4"/>
  <c r="I91" i="4"/>
  <c r="H91" i="4"/>
  <c r="L90" i="4"/>
  <c r="K90" i="4"/>
  <c r="J90" i="4"/>
  <c r="I90" i="4"/>
  <c r="H90" i="4"/>
  <c r="L89" i="4"/>
  <c r="K89" i="4"/>
  <c r="J89" i="4"/>
  <c r="I89" i="4"/>
  <c r="H89" i="4"/>
  <c r="L88" i="4"/>
  <c r="K88" i="4"/>
  <c r="J88" i="4"/>
  <c r="I88" i="4"/>
  <c r="H88" i="4"/>
  <c r="L87" i="4"/>
  <c r="K87" i="4"/>
  <c r="J87" i="4"/>
  <c r="I87" i="4"/>
  <c r="H87" i="4"/>
  <c r="L86" i="4"/>
  <c r="K86" i="4"/>
  <c r="J86" i="4"/>
  <c r="I86" i="4"/>
  <c r="H86" i="4"/>
  <c r="L85" i="4"/>
  <c r="K85" i="4"/>
  <c r="J85" i="4"/>
  <c r="I85" i="4"/>
  <c r="H85" i="4"/>
  <c r="L84" i="4"/>
  <c r="K84" i="4"/>
  <c r="J84" i="4"/>
  <c r="I84" i="4"/>
  <c r="H84" i="4"/>
  <c r="L83" i="4"/>
  <c r="K83" i="4"/>
  <c r="J83" i="4"/>
  <c r="I83" i="4"/>
  <c r="H83" i="4"/>
  <c r="L82" i="4"/>
  <c r="K82" i="4"/>
  <c r="J82" i="4"/>
  <c r="I82" i="4"/>
  <c r="H82" i="4"/>
  <c r="L81" i="4"/>
  <c r="K81" i="4"/>
  <c r="J81" i="4"/>
  <c r="I81" i="4"/>
  <c r="H81" i="4"/>
  <c r="L80" i="4"/>
  <c r="K80" i="4"/>
  <c r="J80" i="4"/>
  <c r="I80" i="4"/>
  <c r="H80" i="4"/>
  <c r="L79" i="4"/>
  <c r="K79" i="4"/>
  <c r="J79" i="4"/>
  <c r="I79" i="4"/>
  <c r="H79" i="4"/>
  <c r="L78" i="4"/>
  <c r="K78" i="4"/>
  <c r="J78" i="4"/>
  <c r="I78" i="4"/>
  <c r="H78" i="4"/>
  <c r="L77" i="4"/>
  <c r="K77" i="4"/>
  <c r="J77" i="4"/>
  <c r="I77" i="4"/>
  <c r="H77" i="4"/>
  <c r="L76" i="4"/>
  <c r="K76" i="4"/>
  <c r="J76" i="4"/>
  <c r="I76" i="4"/>
  <c r="H76" i="4"/>
  <c r="L75" i="4"/>
  <c r="K75" i="4"/>
  <c r="J75" i="4"/>
  <c r="I75" i="4"/>
  <c r="H75" i="4"/>
  <c r="L74" i="4"/>
  <c r="K74" i="4"/>
  <c r="J74" i="4"/>
  <c r="I74" i="4"/>
  <c r="H74" i="4"/>
  <c r="L73" i="4"/>
  <c r="K73" i="4"/>
  <c r="J73" i="4"/>
  <c r="I73" i="4"/>
  <c r="H73" i="4"/>
  <c r="L72" i="4"/>
  <c r="K72" i="4"/>
  <c r="J72" i="4"/>
  <c r="I72" i="4"/>
  <c r="H72" i="4"/>
  <c r="L71" i="4"/>
  <c r="K71" i="4"/>
  <c r="J71" i="4"/>
  <c r="I71" i="4"/>
  <c r="H71" i="4"/>
  <c r="L70" i="4"/>
  <c r="K70" i="4"/>
  <c r="J70" i="4"/>
  <c r="I70" i="4"/>
  <c r="H70" i="4"/>
  <c r="L69" i="4"/>
  <c r="K69" i="4"/>
  <c r="J69" i="4"/>
  <c r="I69" i="4"/>
  <c r="H69" i="4"/>
  <c r="L68" i="4"/>
  <c r="K68" i="4"/>
  <c r="J68" i="4"/>
  <c r="I68" i="4"/>
  <c r="H68" i="4"/>
  <c r="L66" i="4"/>
  <c r="K66" i="4"/>
  <c r="J66" i="4"/>
  <c r="I66" i="4"/>
  <c r="H66" i="4"/>
  <c r="L64" i="4"/>
  <c r="K64" i="4"/>
  <c r="J64" i="4"/>
  <c r="I64" i="4"/>
  <c r="H64" i="4"/>
  <c r="L63" i="4"/>
  <c r="K63" i="4"/>
  <c r="J63" i="4"/>
  <c r="I63" i="4"/>
  <c r="H63" i="4"/>
  <c r="L62" i="4"/>
  <c r="K62" i="4"/>
  <c r="J62" i="4"/>
  <c r="I62" i="4"/>
  <c r="H62" i="4"/>
  <c r="L61" i="4"/>
  <c r="K61" i="4"/>
  <c r="J61" i="4"/>
  <c r="I61" i="4"/>
  <c r="H61" i="4"/>
  <c r="L60" i="4"/>
  <c r="K60" i="4"/>
  <c r="J60" i="4"/>
  <c r="I60" i="4"/>
  <c r="H60" i="4"/>
  <c r="L59" i="4"/>
  <c r="K59" i="4"/>
  <c r="J59" i="4"/>
  <c r="I59" i="4"/>
  <c r="H59" i="4"/>
  <c r="L58" i="4"/>
  <c r="K58" i="4"/>
  <c r="J58" i="4"/>
  <c r="I58" i="4"/>
  <c r="H58" i="4"/>
  <c r="L57" i="4"/>
  <c r="K57" i="4"/>
  <c r="J57" i="4"/>
  <c r="I57" i="4"/>
  <c r="H57" i="4"/>
  <c r="L56" i="4"/>
  <c r="K56" i="4"/>
  <c r="J56" i="4"/>
  <c r="I56" i="4"/>
  <c r="H56" i="4"/>
  <c r="L55" i="4"/>
  <c r="K55" i="4"/>
  <c r="J55" i="4"/>
  <c r="I55" i="4"/>
  <c r="H55" i="4"/>
  <c r="L54" i="4"/>
  <c r="K54" i="4"/>
  <c r="J54" i="4"/>
  <c r="I54" i="4"/>
  <c r="H54" i="4"/>
  <c r="L53" i="4"/>
  <c r="K53" i="4"/>
  <c r="J53" i="4"/>
  <c r="I53" i="4"/>
  <c r="H53" i="4"/>
  <c r="L52" i="4"/>
  <c r="K52" i="4"/>
  <c r="J52" i="4"/>
  <c r="I52" i="4"/>
  <c r="H52" i="4"/>
  <c r="L51" i="4"/>
  <c r="K51" i="4"/>
  <c r="J51" i="4"/>
  <c r="I51" i="4"/>
  <c r="H51" i="4"/>
  <c r="L50" i="4"/>
  <c r="K50" i="4"/>
  <c r="J50" i="4"/>
  <c r="I50" i="4"/>
  <c r="H50" i="4"/>
  <c r="L49" i="4"/>
  <c r="K49" i="4"/>
  <c r="J49" i="4"/>
  <c r="I49" i="4"/>
  <c r="H49" i="4"/>
  <c r="L48" i="4"/>
  <c r="K48" i="4"/>
  <c r="J48" i="4"/>
  <c r="I48" i="4"/>
  <c r="H48" i="4"/>
  <c r="L47" i="4"/>
  <c r="K47" i="4"/>
  <c r="J47" i="4"/>
  <c r="I47" i="4"/>
  <c r="H47" i="4"/>
  <c r="L46" i="4"/>
  <c r="K46" i="4"/>
  <c r="J46" i="4"/>
  <c r="I46" i="4"/>
  <c r="H46" i="4"/>
  <c r="L45" i="4"/>
  <c r="K45" i="4"/>
  <c r="J45" i="4"/>
  <c r="I45" i="4"/>
  <c r="H45" i="4"/>
  <c r="L44" i="4"/>
  <c r="K44" i="4"/>
  <c r="J44" i="4"/>
  <c r="I44" i="4"/>
  <c r="H44" i="4"/>
  <c r="L43" i="4"/>
  <c r="K43" i="4"/>
  <c r="J43" i="4"/>
  <c r="I43" i="4"/>
  <c r="H43" i="4"/>
  <c r="L42" i="4"/>
  <c r="K42" i="4"/>
  <c r="J42" i="4"/>
  <c r="I42" i="4"/>
  <c r="H42" i="4"/>
  <c r="L41" i="4"/>
  <c r="K41" i="4"/>
  <c r="J41" i="4"/>
  <c r="I41" i="4"/>
  <c r="H41" i="4"/>
  <c r="L40" i="4"/>
  <c r="K40" i="4"/>
  <c r="J40" i="4"/>
  <c r="I40" i="4"/>
  <c r="H40" i="4"/>
  <c r="L39" i="4"/>
  <c r="K39" i="4"/>
  <c r="J39" i="4"/>
  <c r="I39" i="4"/>
  <c r="H39" i="4"/>
  <c r="L38" i="4"/>
  <c r="K38" i="4"/>
  <c r="J38" i="4"/>
  <c r="I38" i="4"/>
  <c r="J153" i="5"/>
  <c r="K153" i="5"/>
  <c r="L153" i="5"/>
  <c r="H153" i="5"/>
  <c r="H39" i="5"/>
  <c r="I39" i="5"/>
  <c r="J39" i="5"/>
  <c r="K39" i="5"/>
  <c r="L39" i="5"/>
  <c r="H40" i="5"/>
  <c r="I40" i="5"/>
  <c r="J40" i="5"/>
  <c r="K40" i="5"/>
  <c r="L40" i="5"/>
  <c r="H41" i="5"/>
  <c r="I41" i="5"/>
  <c r="J41" i="5"/>
  <c r="K41" i="5"/>
  <c r="L41" i="5"/>
  <c r="H42" i="5"/>
  <c r="I42" i="5"/>
  <c r="J42" i="5"/>
  <c r="K42" i="5"/>
  <c r="L42" i="5"/>
  <c r="H43" i="5"/>
  <c r="I43" i="5"/>
  <c r="J43" i="5"/>
  <c r="K43" i="5"/>
  <c r="L43" i="5"/>
  <c r="H44" i="5"/>
  <c r="I44" i="5"/>
  <c r="J44" i="5"/>
  <c r="K44" i="5"/>
  <c r="L44" i="5"/>
  <c r="H45" i="5"/>
  <c r="I45" i="5"/>
  <c r="J45" i="5"/>
  <c r="K45" i="5"/>
  <c r="L45" i="5"/>
  <c r="H46" i="5"/>
  <c r="I46" i="5"/>
  <c r="J46" i="5"/>
  <c r="K46" i="5"/>
  <c r="L46" i="5"/>
  <c r="H47" i="5"/>
  <c r="I47" i="5"/>
  <c r="J47" i="5"/>
  <c r="K47" i="5"/>
  <c r="L47" i="5"/>
  <c r="H48" i="5"/>
  <c r="I48" i="5"/>
  <c r="J48" i="5"/>
  <c r="K48" i="5"/>
  <c r="L48" i="5"/>
  <c r="H49" i="5"/>
  <c r="I49" i="5"/>
  <c r="J49" i="5"/>
  <c r="K49" i="5"/>
  <c r="L49" i="5"/>
  <c r="H50" i="5"/>
  <c r="I50" i="5"/>
  <c r="J50" i="5"/>
  <c r="K50" i="5"/>
  <c r="L50" i="5"/>
  <c r="H51" i="5"/>
  <c r="I51" i="5"/>
  <c r="J51" i="5"/>
  <c r="K51" i="5"/>
  <c r="L51" i="5"/>
  <c r="H52" i="5"/>
  <c r="I52" i="5"/>
  <c r="J52" i="5"/>
  <c r="K52" i="5"/>
  <c r="L52" i="5"/>
  <c r="H53" i="5"/>
  <c r="I53" i="5"/>
  <c r="J53" i="5"/>
  <c r="K53" i="5"/>
  <c r="L53" i="5"/>
  <c r="H54" i="5"/>
  <c r="I54" i="5"/>
  <c r="J54" i="5"/>
  <c r="K54" i="5"/>
  <c r="L54" i="5"/>
  <c r="H55" i="5"/>
  <c r="I55" i="5"/>
  <c r="J55" i="5"/>
  <c r="K55" i="5"/>
  <c r="L55" i="5"/>
  <c r="H56" i="5"/>
  <c r="I56" i="5"/>
  <c r="J56" i="5"/>
  <c r="K56" i="5"/>
  <c r="L56" i="5"/>
  <c r="H57" i="5"/>
  <c r="I57" i="5"/>
  <c r="J57" i="5"/>
  <c r="K57" i="5"/>
  <c r="L57" i="5"/>
  <c r="H58" i="5"/>
  <c r="I58" i="5"/>
  <c r="J58" i="5"/>
  <c r="K58" i="5"/>
  <c r="L58" i="5"/>
  <c r="H59" i="5"/>
  <c r="I59" i="5"/>
  <c r="J59" i="5"/>
  <c r="K59" i="5"/>
  <c r="L59" i="5"/>
  <c r="H60" i="5"/>
  <c r="I60" i="5"/>
  <c r="J60" i="5"/>
  <c r="K60" i="5"/>
  <c r="L60" i="5"/>
  <c r="H61" i="5"/>
  <c r="I61" i="5"/>
  <c r="J61" i="5"/>
  <c r="K61" i="5"/>
  <c r="L61" i="5"/>
  <c r="H62" i="5"/>
  <c r="I62" i="5"/>
  <c r="J62" i="5"/>
  <c r="K62" i="5"/>
  <c r="L62" i="5"/>
  <c r="H63" i="5"/>
  <c r="I63" i="5"/>
  <c r="J63" i="5"/>
  <c r="K63" i="5"/>
  <c r="L63" i="5"/>
  <c r="H64" i="5"/>
  <c r="I64" i="5"/>
  <c r="J64" i="5"/>
  <c r="K64" i="5"/>
  <c r="L64" i="5"/>
  <c r="H65" i="5"/>
  <c r="I65" i="5"/>
  <c r="J65" i="5"/>
  <c r="K65" i="5"/>
  <c r="L65" i="5"/>
  <c r="H66" i="5"/>
  <c r="I66" i="5"/>
  <c r="J66" i="5"/>
  <c r="K66" i="5"/>
  <c r="L66" i="5"/>
  <c r="H67" i="5"/>
  <c r="I67" i="5"/>
  <c r="J67" i="5"/>
  <c r="K67" i="5"/>
  <c r="L67" i="5"/>
  <c r="H68" i="5"/>
  <c r="I68" i="5"/>
  <c r="J68" i="5"/>
  <c r="K68" i="5"/>
  <c r="L68" i="5"/>
  <c r="H69" i="5"/>
  <c r="I69" i="5"/>
  <c r="J69" i="5"/>
  <c r="K69" i="5"/>
  <c r="L69" i="5"/>
  <c r="H70" i="5"/>
  <c r="I70" i="5"/>
  <c r="J70" i="5"/>
  <c r="K70" i="5"/>
  <c r="L70" i="5"/>
  <c r="H71" i="5"/>
  <c r="I71" i="5"/>
  <c r="J71" i="5"/>
  <c r="K71" i="5"/>
  <c r="L71" i="5"/>
  <c r="H72" i="5"/>
  <c r="I72" i="5"/>
  <c r="J72" i="5"/>
  <c r="K72" i="5"/>
  <c r="L72" i="5"/>
  <c r="H73" i="5"/>
  <c r="I73" i="5"/>
  <c r="J73" i="5"/>
  <c r="K73" i="5"/>
  <c r="L73" i="5"/>
  <c r="H74" i="5"/>
  <c r="I74" i="5"/>
  <c r="J74" i="5"/>
  <c r="K74" i="5"/>
  <c r="L74" i="5"/>
  <c r="H75" i="5"/>
  <c r="I75" i="5"/>
  <c r="J75" i="5"/>
  <c r="K75" i="5"/>
  <c r="L75" i="5"/>
  <c r="H76" i="5"/>
  <c r="I76" i="5"/>
  <c r="J76" i="5"/>
  <c r="K76" i="5"/>
  <c r="L76" i="5"/>
  <c r="H77" i="5"/>
  <c r="I77" i="5"/>
  <c r="J77" i="5"/>
  <c r="K77" i="5"/>
  <c r="L77" i="5"/>
  <c r="H78" i="5"/>
  <c r="I78" i="5"/>
  <c r="J78" i="5"/>
  <c r="K78" i="5"/>
  <c r="L78" i="5"/>
  <c r="H79" i="5"/>
  <c r="I79" i="5"/>
  <c r="J79" i="5"/>
  <c r="K79" i="5"/>
  <c r="L79" i="5"/>
  <c r="H80" i="5"/>
  <c r="I80" i="5"/>
  <c r="J80" i="5"/>
  <c r="K80" i="5"/>
  <c r="L80" i="5"/>
  <c r="H81" i="5"/>
  <c r="I81" i="5"/>
  <c r="J81" i="5"/>
  <c r="K81" i="5"/>
  <c r="L81" i="5"/>
  <c r="H82" i="5"/>
  <c r="I82" i="5"/>
  <c r="J82" i="5"/>
  <c r="K82" i="5"/>
  <c r="L82" i="5"/>
  <c r="H83" i="5"/>
  <c r="I83" i="5"/>
  <c r="J83" i="5"/>
  <c r="K83" i="5"/>
  <c r="L83" i="5"/>
  <c r="H84" i="5"/>
  <c r="I84" i="5"/>
  <c r="J84" i="5"/>
  <c r="K84" i="5"/>
  <c r="L84" i="5"/>
  <c r="H85" i="5"/>
  <c r="I85" i="5"/>
  <c r="J85" i="5"/>
  <c r="K85" i="5"/>
  <c r="L85" i="5"/>
  <c r="H86" i="5"/>
  <c r="I86" i="5"/>
  <c r="J86" i="5"/>
  <c r="K86" i="5"/>
  <c r="L86" i="5"/>
  <c r="H87" i="5"/>
  <c r="I87" i="5"/>
  <c r="J87" i="5"/>
  <c r="K87" i="5"/>
  <c r="L87" i="5"/>
  <c r="H88" i="5"/>
  <c r="I88" i="5"/>
  <c r="J88" i="5"/>
  <c r="K88" i="5"/>
  <c r="L88" i="5"/>
  <c r="H89" i="5"/>
  <c r="I89" i="5"/>
  <c r="J89" i="5"/>
  <c r="K89" i="5"/>
  <c r="L89" i="5"/>
  <c r="H90" i="5"/>
  <c r="I90" i="5"/>
  <c r="J90" i="5"/>
  <c r="K90" i="5"/>
  <c r="L90" i="5"/>
  <c r="H91" i="5"/>
  <c r="I91" i="5"/>
  <c r="J91" i="5"/>
  <c r="K91" i="5"/>
  <c r="L91" i="5"/>
  <c r="H92" i="5"/>
  <c r="I92" i="5"/>
  <c r="J92" i="5"/>
  <c r="K92" i="5"/>
  <c r="L92" i="5"/>
  <c r="H93" i="5"/>
  <c r="I93" i="5"/>
  <c r="J93" i="5"/>
  <c r="K93" i="5"/>
  <c r="L93" i="5"/>
  <c r="H94" i="5"/>
  <c r="I94" i="5"/>
  <c r="J94" i="5"/>
  <c r="K94" i="5"/>
  <c r="L94" i="5"/>
  <c r="H95" i="5"/>
  <c r="I95" i="5"/>
  <c r="J95" i="5"/>
  <c r="K95" i="5"/>
  <c r="L95" i="5"/>
  <c r="H96" i="5"/>
  <c r="I96" i="5"/>
  <c r="J96" i="5"/>
  <c r="K96" i="5"/>
  <c r="L96" i="5"/>
  <c r="H97" i="5"/>
  <c r="I97" i="5"/>
  <c r="J97" i="5"/>
  <c r="K97" i="5"/>
  <c r="L97" i="5"/>
  <c r="H98" i="5"/>
  <c r="I98" i="5"/>
  <c r="J98" i="5"/>
  <c r="K98" i="5"/>
  <c r="L98" i="5"/>
  <c r="H99" i="5"/>
  <c r="I99" i="5"/>
  <c r="J99" i="5"/>
  <c r="K99" i="5"/>
  <c r="L99" i="5"/>
  <c r="H100" i="5"/>
  <c r="I100" i="5"/>
  <c r="J100" i="5"/>
  <c r="K100" i="5"/>
  <c r="L100" i="5"/>
  <c r="H101" i="5"/>
  <c r="I101" i="5"/>
  <c r="J101" i="5"/>
  <c r="K101" i="5"/>
  <c r="L101" i="5"/>
  <c r="H102" i="5"/>
  <c r="I102" i="5"/>
  <c r="J102" i="5"/>
  <c r="K102" i="5"/>
  <c r="L102" i="5"/>
  <c r="H103" i="5"/>
  <c r="I103" i="5"/>
  <c r="J103" i="5"/>
  <c r="K103" i="5"/>
  <c r="L103" i="5"/>
  <c r="H104" i="5"/>
  <c r="I104" i="5"/>
  <c r="J104" i="5"/>
  <c r="K104" i="5"/>
  <c r="L104" i="5"/>
  <c r="H105" i="5"/>
  <c r="I105" i="5"/>
  <c r="J105" i="5"/>
  <c r="K105" i="5"/>
  <c r="L105" i="5"/>
  <c r="H106" i="5"/>
  <c r="I106" i="5"/>
  <c r="J106" i="5"/>
  <c r="K106" i="5"/>
  <c r="L106" i="5"/>
  <c r="H107" i="5"/>
  <c r="I107" i="5"/>
  <c r="J107" i="5"/>
  <c r="K107" i="5"/>
  <c r="L107" i="5"/>
  <c r="H108" i="5"/>
  <c r="I108" i="5"/>
  <c r="J108" i="5"/>
  <c r="K108" i="5"/>
  <c r="L108" i="5"/>
  <c r="H109" i="5"/>
  <c r="I109" i="5"/>
  <c r="J109" i="5"/>
  <c r="K109" i="5"/>
  <c r="L109" i="5"/>
  <c r="H110" i="5"/>
  <c r="I110" i="5"/>
  <c r="J110" i="5"/>
  <c r="K110" i="5"/>
  <c r="L110" i="5"/>
  <c r="H111" i="5"/>
  <c r="I111" i="5"/>
  <c r="J111" i="5"/>
  <c r="K111" i="5"/>
  <c r="L111" i="5"/>
  <c r="H112" i="5"/>
  <c r="I112" i="5"/>
  <c r="J112" i="5"/>
  <c r="K112" i="5"/>
  <c r="L112" i="5"/>
  <c r="H113" i="5"/>
  <c r="I113" i="5"/>
  <c r="J113" i="5"/>
  <c r="K113" i="5"/>
  <c r="L113" i="5"/>
  <c r="H114" i="5"/>
  <c r="I114" i="5"/>
  <c r="J114" i="5"/>
  <c r="K114" i="5"/>
  <c r="L114" i="5"/>
  <c r="H115" i="5"/>
  <c r="I115" i="5"/>
  <c r="J115" i="5"/>
  <c r="K115" i="5"/>
  <c r="L115" i="5"/>
  <c r="H116" i="5"/>
  <c r="I116" i="5"/>
  <c r="J116" i="5"/>
  <c r="K116" i="5"/>
  <c r="L116" i="5"/>
  <c r="H117" i="5"/>
  <c r="I117" i="5"/>
  <c r="J117" i="5"/>
  <c r="K117" i="5"/>
  <c r="L117" i="5"/>
  <c r="H118" i="5"/>
  <c r="I118" i="5"/>
  <c r="J118" i="5"/>
  <c r="K118" i="5"/>
  <c r="L118" i="5"/>
  <c r="H119" i="5"/>
  <c r="I119" i="5"/>
  <c r="J119" i="5"/>
  <c r="K119" i="5"/>
  <c r="L119" i="5"/>
  <c r="H120" i="5"/>
  <c r="I120" i="5"/>
  <c r="J120" i="5"/>
  <c r="K120" i="5"/>
  <c r="L120" i="5"/>
  <c r="H121" i="5"/>
  <c r="I121" i="5"/>
  <c r="J121" i="5"/>
  <c r="K121" i="5"/>
  <c r="L121" i="5"/>
  <c r="H122" i="5"/>
  <c r="I122" i="5"/>
  <c r="J122" i="5"/>
  <c r="K122" i="5"/>
  <c r="L122" i="5"/>
  <c r="H123" i="5"/>
  <c r="I123" i="5"/>
  <c r="J123" i="5"/>
  <c r="K123" i="5"/>
  <c r="L123" i="5"/>
  <c r="H124" i="5"/>
  <c r="I124" i="5"/>
  <c r="J124" i="5"/>
  <c r="K124" i="5"/>
  <c r="L124" i="5"/>
  <c r="H125" i="5"/>
  <c r="I125" i="5"/>
  <c r="J125" i="5"/>
  <c r="K125" i="5"/>
  <c r="L125" i="5"/>
  <c r="H126" i="5"/>
  <c r="I126" i="5"/>
  <c r="J126" i="5"/>
  <c r="K126" i="5"/>
  <c r="L126" i="5"/>
  <c r="H127" i="5"/>
  <c r="I127" i="5"/>
  <c r="J127" i="5"/>
  <c r="K127" i="5"/>
  <c r="L127" i="5"/>
  <c r="H128" i="5"/>
  <c r="I128" i="5"/>
  <c r="J128" i="5"/>
  <c r="K128" i="5"/>
  <c r="L128" i="5"/>
  <c r="H129" i="5"/>
  <c r="I129" i="5"/>
  <c r="J129" i="5"/>
  <c r="K129" i="5"/>
  <c r="L129" i="5"/>
  <c r="H130" i="5"/>
  <c r="I130" i="5"/>
  <c r="J130" i="5"/>
  <c r="K130" i="5"/>
  <c r="L130" i="5"/>
  <c r="H131" i="5"/>
  <c r="I131" i="5"/>
  <c r="J131" i="5"/>
  <c r="K131" i="5"/>
  <c r="L131" i="5"/>
  <c r="H132" i="5"/>
  <c r="I132" i="5"/>
  <c r="J132" i="5"/>
  <c r="K132" i="5"/>
  <c r="L132" i="5"/>
  <c r="H133" i="5"/>
  <c r="I133" i="5"/>
  <c r="J133" i="5"/>
  <c r="K133" i="5"/>
  <c r="L133" i="5"/>
  <c r="H134" i="5"/>
  <c r="I134" i="5"/>
  <c r="J134" i="5"/>
  <c r="K134" i="5"/>
  <c r="L134" i="5"/>
  <c r="H135" i="5"/>
  <c r="I135" i="5"/>
  <c r="J135" i="5"/>
  <c r="K135" i="5"/>
  <c r="L135" i="5"/>
  <c r="H136" i="5"/>
  <c r="I136" i="5"/>
  <c r="J136" i="5"/>
  <c r="K136" i="5"/>
  <c r="L136" i="5"/>
  <c r="H137" i="5"/>
  <c r="I137" i="5"/>
  <c r="J137" i="5"/>
  <c r="K137" i="5"/>
  <c r="L137" i="5"/>
  <c r="H138" i="5"/>
  <c r="I138" i="5"/>
  <c r="J138" i="5"/>
  <c r="K138" i="5"/>
  <c r="L138" i="5"/>
  <c r="H139" i="5"/>
  <c r="I139" i="5"/>
  <c r="J139" i="5"/>
  <c r="K139" i="5"/>
  <c r="L139" i="5"/>
  <c r="H140" i="5"/>
  <c r="I140" i="5"/>
  <c r="J140" i="5"/>
  <c r="K140" i="5"/>
  <c r="L140" i="5"/>
  <c r="H141" i="5"/>
  <c r="I141" i="5"/>
  <c r="J141" i="5"/>
  <c r="K141" i="5"/>
  <c r="L141" i="5"/>
  <c r="H142" i="5"/>
  <c r="I142" i="5"/>
  <c r="J142" i="5"/>
  <c r="K142" i="5"/>
  <c r="L142" i="5"/>
  <c r="H143" i="5"/>
  <c r="I143" i="5"/>
  <c r="J143" i="5"/>
  <c r="K143" i="5"/>
  <c r="L143" i="5"/>
  <c r="H144" i="5"/>
  <c r="I144" i="5"/>
  <c r="J144" i="5"/>
  <c r="K144" i="5"/>
  <c r="L144" i="5"/>
  <c r="H145" i="5"/>
  <c r="I145" i="5"/>
  <c r="J145" i="5"/>
  <c r="K145" i="5"/>
  <c r="L145" i="5"/>
  <c r="H146" i="5"/>
  <c r="I146" i="5"/>
  <c r="J146" i="5"/>
  <c r="K146" i="5"/>
  <c r="L146" i="5"/>
  <c r="H147" i="5"/>
  <c r="I147" i="5"/>
  <c r="J147" i="5"/>
  <c r="K147" i="5"/>
  <c r="L147" i="5"/>
  <c r="H148" i="5"/>
  <c r="I148" i="5"/>
  <c r="J148" i="5"/>
  <c r="K148" i="5"/>
  <c r="L148" i="5"/>
  <c r="H149" i="5"/>
  <c r="I149" i="5"/>
  <c r="J149" i="5"/>
  <c r="K149" i="5"/>
  <c r="L149" i="5"/>
  <c r="H150" i="5"/>
  <c r="I150" i="5"/>
  <c r="J150" i="5"/>
  <c r="K150" i="5"/>
  <c r="L150" i="5"/>
  <c r="H151" i="5"/>
  <c r="I151" i="5"/>
  <c r="J151" i="5"/>
  <c r="K151" i="5"/>
  <c r="L151" i="5"/>
  <c r="L38" i="5"/>
  <c r="I38" i="5"/>
  <c r="J38" i="5"/>
  <c r="K38" i="5"/>
  <c r="H38" i="5"/>
  <c r="M146" i="6"/>
  <c r="I146" i="6"/>
  <c r="J146" i="6"/>
  <c r="K146" i="6"/>
  <c r="L146" i="6"/>
  <c r="H146" i="6"/>
  <c r="L145" i="6"/>
  <c r="K145" i="6"/>
  <c r="J145" i="6"/>
  <c r="I145" i="6"/>
  <c r="H145" i="6"/>
  <c r="H68" i="6"/>
  <c r="I68" i="6"/>
  <c r="J68" i="6"/>
  <c r="K68" i="6"/>
  <c r="L68" i="6"/>
  <c r="H69" i="6"/>
  <c r="I69" i="6"/>
  <c r="J69" i="6"/>
  <c r="K69" i="6"/>
  <c r="L69" i="6"/>
  <c r="H70" i="6"/>
  <c r="I70" i="6"/>
  <c r="J70" i="6"/>
  <c r="K70" i="6"/>
  <c r="L70" i="6"/>
  <c r="H71" i="6"/>
  <c r="I71" i="6"/>
  <c r="J71" i="6"/>
  <c r="K71" i="6"/>
  <c r="L71" i="6"/>
  <c r="H72" i="6"/>
  <c r="I72" i="6"/>
  <c r="J72" i="6"/>
  <c r="K72" i="6"/>
  <c r="L72" i="6"/>
  <c r="H73" i="6"/>
  <c r="I73" i="6"/>
  <c r="J73" i="6"/>
  <c r="K73" i="6"/>
  <c r="L73" i="6"/>
  <c r="H74" i="6"/>
  <c r="I74" i="6"/>
  <c r="J74" i="6"/>
  <c r="K74" i="6"/>
  <c r="L74" i="6"/>
  <c r="H75" i="6"/>
  <c r="I75" i="6"/>
  <c r="J75" i="6"/>
  <c r="K75" i="6"/>
  <c r="L75" i="6"/>
  <c r="H76" i="6"/>
  <c r="I76" i="6"/>
  <c r="J76" i="6"/>
  <c r="K76" i="6"/>
  <c r="L76" i="6"/>
  <c r="H77" i="6"/>
  <c r="I77" i="6"/>
  <c r="J77" i="6"/>
  <c r="K77" i="6"/>
  <c r="L77" i="6"/>
  <c r="H78" i="6"/>
  <c r="I78" i="6"/>
  <c r="J78" i="6"/>
  <c r="K78" i="6"/>
  <c r="L78" i="6"/>
  <c r="H79" i="6"/>
  <c r="I79" i="6"/>
  <c r="J79" i="6"/>
  <c r="K79" i="6"/>
  <c r="L79" i="6"/>
  <c r="H80" i="6"/>
  <c r="I80" i="6"/>
  <c r="J80" i="6"/>
  <c r="K80" i="6"/>
  <c r="L80" i="6"/>
  <c r="H81" i="6"/>
  <c r="I81" i="6"/>
  <c r="J81" i="6"/>
  <c r="K81" i="6"/>
  <c r="L81" i="6"/>
  <c r="H82" i="6"/>
  <c r="I82" i="6"/>
  <c r="J82" i="6"/>
  <c r="K82" i="6"/>
  <c r="L82" i="6"/>
  <c r="H83" i="6"/>
  <c r="I83" i="6"/>
  <c r="J83" i="6"/>
  <c r="K83" i="6"/>
  <c r="L83" i="6"/>
  <c r="H84" i="6"/>
  <c r="I84" i="6"/>
  <c r="J84" i="6"/>
  <c r="K84" i="6"/>
  <c r="L84" i="6"/>
  <c r="H85" i="6"/>
  <c r="I85" i="6"/>
  <c r="J85" i="6"/>
  <c r="K85" i="6"/>
  <c r="L85" i="6"/>
  <c r="H86" i="6"/>
  <c r="I86" i="6"/>
  <c r="J86" i="6"/>
  <c r="K86" i="6"/>
  <c r="L86" i="6"/>
  <c r="H87" i="6"/>
  <c r="I87" i="6"/>
  <c r="J87" i="6"/>
  <c r="K87" i="6"/>
  <c r="L87" i="6"/>
  <c r="H88" i="6"/>
  <c r="I88" i="6"/>
  <c r="J88" i="6"/>
  <c r="K88" i="6"/>
  <c r="L88" i="6"/>
  <c r="H89" i="6"/>
  <c r="I89" i="6"/>
  <c r="J89" i="6"/>
  <c r="K89" i="6"/>
  <c r="L89" i="6"/>
  <c r="H90" i="6"/>
  <c r="I90" i="6"/>
  <c r="J90" i="6"/>
  <c r="K90" i="6"/>
  <c r="L90" i="6"/>
  <c r="H91" i="6"/>
  <c r="I91" i="6"/>
  <c r="J91" i="6"/>
  <c r="K91" i="6"/>
  <c r="L91" i="6"/>
  <c r="H92" i="6"/>
  <c r="I92" i="6"/>
  <c r="J92" i="6"/>
  <c r="K92" i="6"/>
  <c r="L92" i="6"/>
  <c r="H93" i="6"/>
  <c r="I93" i="6"/>
  <c r="J93" i="6"/>
  <c r="K93" i="6"/>
  <c r="L93" i="6"/>
  <c r="H94" i="6"/>
  <c r="I94" i="6"/>
  <c r="J94" i="6"/>
  <c r="K94" i="6"/>
  <c r="L94" i="6"/>
  <c r="H95" i="6"/>
  <c r="I95" i="6"/>
  <c r="J95" i="6"/>
  <c r="K95" i="6"/>
  <c r="L95" i="6"/>
  <c r="H96" i="6"/>
  <c r="I96" i="6"/>
  <c r="J96" i="6"/>
  <c r="K96" i="6"/>
  <c r="L96" i="6"/>
  <c r="H97" i="6"/>
  <c r="I97" i="6"/>
  <c r="J97" i="6"/>
  <c r="K97" i="6"/>
  <c r="L97" i="6"/>
  <c r="H99" i="6"/>
  <c r="I99" i="6"/>
  <c r="J99" i="6"/>
  <c r="K99" i="6"/>
  <c r="L99" i="6"/>
  <c r="H110" i="6"/>
  <c r="I110" i="6"/>
  <c r="J110" i="6"/>
  <c r="K110" i="6"/>
  <c r="L110" i="6"/>
  <c r="H123" i="6"/>
  <c r="I123" i="6"/>
  <c r="J123" i="6"/>
  <c r="K123" i="6"/>
  <c r="L123" i="6"/>
  <c r="H124" i="6"/>
  <c r="I124" i="6"/>
  <c r="J124" i="6"/>
  <c r="K124" i="6"/>
  <c r="L124" i="6"/>
  <c r="H125" i="6"/>
  <c r="I125" i="6"/>
  <c r="J125" i="6"/>
  <c r="K125" i="6"/>
  <c r="L125" i="6"/>
  <c r="H126" i="6"/>
  <c r="I126" i="6"/>
  <c r="J126" i="6"/>
  <c r="K126" i="6"/>
  <c r="L126" i="6"/>
  <c r="H127" i="6"/>
  <c r="I127" i="6"/>
  <c r="J127" i="6"/>
  <c r="K127" i="6"/>
  <c r="L127" i="6"/>
  <c r="H128" i="6"/>
  <c r="I128" i="6"/>
  <c r="J128" i="6"/>
  <c r="K128" i="6"/>
  <c r="L128" i="6"/>
  <c r="H129" i="6"/>
  <c r="I129" i="6"/>
  <c r="J129" i="6"/>
  <c r="K129" i="6"/>
  <c r="L129" i="6"/>
  <c r="H130" i="6"/>
  <c r="I130" i="6"/>
  <c r="J130" i="6"/>
  <c r="K130" i="6"/>
  <c r="L130" i="6"/>
  <c r="H131" i="6"/>
  <c r="I131" i="6"/>
  <c r="J131" i="6"/>
  <c r="K131" i="6"/>
  <c r="L131" i="6"/>
  <c r="H132" i="6"/>
  <c r="I132" i="6"/>
  <c r="J132" i="6"/>
  <c r="K132" i="6"/>
  <c r="L132" i="6"/>
  <c r="H133" i="6"/>
  <c r="I133" i="6"/>
  <c r="J133" i="6"/>
  <c r="K133" i="6"/>
  <c r="L133" i="6"/>
  <c r="H134" i="6"/>
  <c r="I134" i="6"/>
  <c r="J134" i="6"/>
  <c r="K134" i="6"/>
  <c r="L134" i="6"/>
  <c r="H135" i="6"/>
  <c r="I135" i="6"/>
  <c r="J135" i="6"/>
  <c r="K135" i="6"/>
  <c r="L135" i="6"/>
  <c r="H136" i="6"/>
  <c r="I136" i="6"/>
  <c r="J136" i="6"/>
  <c r="K136" i="6"/>
  <c r="L136" i="6"/>
  <c r="H137" i="6"/>
  <c r="I137" i="6"/>
  <c r="J137" i="6"/>
  <c r="K137" i="6"/>
  <c r="L137" i="6"/>
  <c r="H138" i="6"/>
  <c r="I138" i="6"/>
  <c r="J138" i="6"/>
  <c r="K138" i="6"/>
  <c r="L138" i="6"/>
  <c r="H139" i="6"/>
  <c r="I139" i="6"/>
  <c r="J139" i="6"/>
  <c r="K139" i="6"/>
  <c r="L139" i="6"/>
  <c r="H140" i="6"/>
  <c r="I140" i="6"/>
  <c r="J140" i="6"/>
  <c r="K140" i="6"/>
  <c r="L140" i="6"/>
  <c r="H141" i="6"/>
  <c r="I141" i="6"/>
  <c r="J141" i="6"/>
  <c r="K141" i="6"/>
  <c r="L141" i="6"/>
  <c r="H142" i="6"/>
  <c r="I142" i="6"/>
  <c r="J142" i="6"/>
  <c r="K142" i="6"/>
  <c r="L142" i="6"/>
  <c r="H143" i="6"/>
  <c r="I143" i="6"/>
  <c r="J143" i="6"/>
  <c r="K143" i="6"/>
  <c r="L143" i="6"/>
  <c r="H66" i="6"/>
  <c r="I66" i="6"/>
  <c r="J66" i="6"/>
  <c r="K66" i="6"/>
  <c r="L66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38" i="6"/>
  <c r="J144" i="2" l="1"/>
  <c r="K144" i="2"/>
  <c r="L144" i="2"/>
  <c r="J144" i="3"/>
  <c r="K144" i="3"/>
  <c r="L144" i="3"/>
  <c r="M144" i="3"/>
</calcChain>
</file>

<file path=xl/sharedStrings.xml><?xml version="1.0" encoding="utf-8"?>
<sst xmlns="http://schemas.openxmlformats.org/spreadsheetml/2006/main" count="1118" uniqueCount="195">
  <si>
    <t>Item</t>
  </si>
  <si>
    <t>All Consumer Units</t>
  </si>
  <si>
    <t>Lowest 20 Percent</t>
  </si>
  <si>
    <t>Second 20 Percent</t>
  </si>
  <si>
    <t>Third 20 Percent</t>
  </si>
  <si>
    <t>Fourth 20 Percent</t>
  </si>
  <si>
    <t>Highest 20 Percent</t>
  </si>
  <si>
    <t>Number of Consumer Units</t>
  </si>
  <si>
    <t>Consumer Unit Characteristics:</t>
  </si>
  <si>
    <t>Income before taxes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</si>
  <si>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</si>
  <si>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</si>
  <si>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</si>
  <si>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</si>
  <si>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</si>
  <si>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</si>
  <si>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</si>
  <si>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 of 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</si>
  <si>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</si>
  <si>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</si>
  <si>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</si>
  <si>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</si>
  <si>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</si>
  <si>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</si>
  <si>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</si>
  <si>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</si>
  <si>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</si>
  <si>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</si>
  <si>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</si>
  <si>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</si>
  <si>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</si>
  <si>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</si>
  <si>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</si>
  <si>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</si>
  <si>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</si>
  <si>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</si>
  <si>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At least one vehicle owned or leased</t>
  </si>
  <si>
    <t>Average annual expenditures</t>
  </si>
  <si>
    <t>Food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</si>
  <si>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</si>
  <si>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</si>
  <si>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</si>
  <si>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</si>
  <si>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</si>
  <si>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</si>
  <si>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</si>
  <si>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</si>
  <si>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</si>
  <si>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</si>
  <si>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</si>
  <si>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</si>
  <si>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</si>
  <si>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</si>
  <si>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</si>
  <si>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</si>
  <si>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</si>
  <si>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</t>
  </si>
  <si>
    <t>Processed vegetables</t>
  </si>
  <si>
    <t>Processed fruits and vegetables (new category Q20231)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</si>
  <si>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</si>
  <si>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</si>
  <si>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</si>
  <si>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</si>
  <si>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</si>
  <si>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</si>
  <si>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</si>
  <si>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</si>
  <si>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</si>
  <si>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</si>
  <si>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</si>
  <si>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</si>
  <si>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</si>
  <si>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</si>
  <si>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</si>
  <si>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</si>
  <si>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</si>
  <si>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</si>
  <si>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</si>
  <si>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</si>
  <si>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</si>
  <si>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</si>
  <si>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</si>
  <si>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</si>
  <si>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</si>
  <si>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</si>
  <si>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</si>
  <si>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</si>
  <si>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supplies</t>
  </si>
  <si>
    <t>Laundry and cleaning products (new UCC Q20231)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</si>
  <si>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</si>
  <si>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</si>
  <si>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</si>
  <si>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</si>
  <si>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</si>
  <si>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</si>
  <si>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</si>
  <si>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</si>
  <si>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</si>
  <si>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</si>
  <si>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</si>
  <si>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</si>
  <si>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</si>
  <si>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</si>
  <si>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</si>
  <si>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</si>
  <si>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</si>
  <si>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</si>
  <si>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</si>
  <si>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</si>
  <si>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</si>
  <si>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</si>
  <si>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</si>
  <si>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Other vehicles</t>
  </si>
  <si>
    <t>Gasoline, other fuels, and motor oil</t>
  </si>
  <si>
    <t>Gasoline and other fuels (new category Q20231)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</si>
  <si>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</si>
  <si>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</si>
  <si>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</si>
  <si>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</si>
  <si>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</si>
  <si>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</si>
  <si>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</si>
  <si>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</si>
  <si>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</si>
  <si>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</si>
  <si>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</si>
  <si>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</si>
  <si>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</si>
  <si>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</si>
  <si>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</si>
  <si>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</si>
  <si>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</si>
  <si>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</si>
  <si>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</si>
  <si>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</si>
  <si>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</si>
  <si>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</si>
  <si>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</si>
  <si>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</si>
  <si>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</si>
  <si>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</si>
  <si>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Pensions and Social Security</t>
  </si>
  <si>
    <t>Sources of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</si>
  <si>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</si>
  <si>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</si>
  <si>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</si>
  <si>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</si>
  <si>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</si>
  <si>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</si>
  <si>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</si>
  <si>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Personal taxes (contains some imputed values)</t>
  </si>
  <si>
    <t>Federal income taxes</t>
  </si>
  <si>
    <t>State and local income taxes</t>
  </si>
  <si>
    <t>Other taxes</t>
  </si>
  <si>
    <t xml:space="preserve">Source: https://www.bls.gov/cex/tables/geographic/mean/2023/cu-state-ca-income-quintiles-before-taxes-2-year-average-2023.htm </t>
  </si>
  <si>
    <t>Percent Distribution:</t>
  </si>
  <si>
    <t>Reference Person:</t>
  </si>
  <si>
    <t>Housing tenure:</t>
  </si>
  <si>
    <t>Personal taxes</t>
  </si>
  <si>
    <t>Stimulus payment</t>
  </si>
  <si>
    <t>Source: https://www.bls.gov/cex/tables/geographic/mean/2022/cu-state-ca-income-quintiles-before-taxes-2-year-average-2022.htm</t>
  </si>
  <si>
    <t>Interest, dividends, rental income, and other property</t>
  </si>
  <si>
    <t>Public assistance, Supplemental Security Income,</t>
  </si>
  <si>
    <t>Unemployment and workers' compensation, veterans'</t>
  </si>
  <si>
    <t xml:space="preserve">Source: https://www.bls.gov/cex/tables/geographic/mean/cu-state-ca-income-quintiles-before-taxes-2-year-average-2021.htm </t>
  </si>
  <si>
    <t>Source: https://www.bls.gov/cex/tables/geographic/mean/cu-state-ca-income-quintiles-before-taxes-2-year-average-2020.htm</t>
  </si>
  <si>
    <t>Number of Consumer Units (in thousands)</t>
  </si>
  <si>
    <t>Consumer Unit Characteristics</t>
  </si>
  <si>
    <t>Average Number in Consumer Unit</t>
  </si>
  <si>
    <t>Percent Distribution</t>
  </si>
  <si>
    <t>Reference Person</t>
  </si>
  <si>
    <t>Race of Reference Person</t>
  </si>
  <si>
    <t>White, Asian, and all other races</t>
  </si>
  <si>
    <t>Hispanic or Latino Origin of Reference Person</t>
  </si>
  <si>
    <t>Education of Reference Person</t>
  </si>
  <si>
    <t>Food prepared by consumer unit on out-of-town trips</t>
  </si>
  <si>
    <t>Maintenance, repairs, insurance, other expenses</t>
  </si>
  <si>
    <t>Personal Services</t>
  </si>
  <si>
    <t>Small appliances, miscellaneous housewares</t>
  </si>
  <si>
    <t>a/</t>
  </si>
  <si>
    <t>Sources of Income and Personal Taxes</t>
  </si>
  <si>
    <t>Money income before taxes</t>
  </si>
  <si>
    <t>Interest, dividends, rental income, other property income</t>
  </si>
  <si>
    <t>Stimulus payment (new UCC Q20202)</t>
  </si>
  <si>
    <t xml:space="preserve">Source: https://www.bls.gov/cex/tables/geographic/mean/cu-state-ca-income-quintiles-before-taxes-2-year-average-2019.htm </t>
  </si>
  <si>
    <t>Interest, dividends, rental income, other property incom</t>
  </si>
  <si>
    <t xml:space="preserve">Source: https://www.bls.gov/cex/tables/geographic/mean/cu-state-ca-income-quintiles-before-taxes-2-year-average-2018.htm </t>
  </si>
  <si>
    <t>Year</t>
  </si>
  <si>
    <t>N</t>
  </si>
  <si>
    <t>Y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</si>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</sst>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73" formatCode="0.0000"/>
  </numFmts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8" fontId="3" fillId="0" borderId="0" xfId="0" applyNumberFormat="1" applyFont="1"/>
    <xf numFmtId="4" fontId="3" fillId="0" borderId="0" xfId="0" applyNumberFormat="1" applyFont="1"/>
    <xf numFmtId="0" fontId="0" fillId="0" borderId="0" xfId="1" applyNumberFormat="1" applyFont="1"/>
    <xf numFmtId="0" fontId="1" fillId="0" borderId="0" xfId="1" applyNumberFormat="1" applyFont="1"/>
    <xf numFmtId="0" fontId="3" fillId="0" borderId="0" xfId="1" applyNumberFormat="1" applyFont="1"/>
    <xf numFmtId="9" fontId="0" fillId="0" borderId="0" xfId="2" applyFont="1"/>
    <xf numFmtId="9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17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3853-2EA8-724F-A762-854AABBAFE6B}">
  <dimension ref="A1:L150"/>
  <sheetViews>
    <sheetView topLeftCell="B118" workbookViewId="0">
      <selection activeCell="I139" sqref="I139"/>
    </sheetView>
  </sheetViews>
  <sheetFormatPr baseColWidth="10" defaultRowHeight="16" x14ac:dyDescent="0.2"/>
  <cols>
    <col min="1" max="1" width="88.6640625" customWidth="1"/>
    <col min="2" max="2" width="23.83203125" bestFit="1" customWidth="1"/>
    <col min="3" max="3" width="23.33203125" bestFit="1" customWidth="1"/>
    <col min="4" max="4" width="23.5" bestFit="1" customWidth="1"/>
    <col min="5" max="5" width="21" bestFit="1" customWidth="1"/>
    <col min="6" max="6" width="22.83203125" bestFit="1" customWidth="1"/>
    <col min="7" max="7" width="24" bestFit="1" customWidth="1"/>
  </cols>
  <sheetData>
    <row r="1" spans="1:7" x14ac:dyDescent="0.2">
      <c r="A1" t="s">
        <v>154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14314999</v>
      </c>
      <c r="C3" s="3">
        <v>2499098</v>
      </c>
      <c r="D3" s="3">
        <v>2705245</v>
      </c>
      <c r="E3" s="3">
        <v>3064220</v>
      </c>
      <c r="F3" s="3">
        <v>3160606</v>
      </c>
      <c r="G3" s="3">
        <v>2885831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116429.05</v>
      </c>
      <c r="C5" s="5">
        <v>16424.939999999999</v>
      </c>
      <c r="D5" s="5">
        <v>44742.16</v>
      </c>
      <c r="E5" s="5">
        <v>79231.86</v>
      </c>
      <c r="F5" s="5">
        <v>131312.39000000001</v>
      </c>
      <c r="G5" s="5">
        <v>293428.58</v>
      </c>
    </row>
    <row r="6" spans="1:7" ht="18" x14ac:dyDescent="0.2">
      <c r="A6" s="2" t="s">
        <v>10</v>
      </c>
      <c r="B6" s="4">
        <v>51.4</v>
      </c>
      <c r="C6" s="4">
        <v>57.8</v>
      </c>
      <c r="D6" s="4">
        <v>52.3</v>
      </c>
      <c r="E6" s="4">
        <v>50</v>
      </c>
      <c r="F6" s="4">
        <v>49.1</v>
      </c>
      <c r="G6" s="4">
        <v>49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1.7</v>
      </c>
      <c r="D8" s="4">
        <v>2.5</v>
      </c>
      <c r="E8" s="4">
        <v>2.8</v>
      </c>
      <c r="F8" s="4">
        <v>3.1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0.3</v>
      </c>
      <c r="D9" s="4">
        <v>0.7</v>
      </c>
      <c r="E9" s="4">
        <v>0.7</v>
      </c>
      <c r="F9" s="4">
        <v>0.7</v>
      </c>
      <c r="G9" s="4">
        <v>0.7</v>
      </c>
    </row>
    <row r="10" spans="1:7" ht="18" x14ac:dyDescent="0.2">
      <c r="A10" s="2" t="s">
        <v>14</v>
      </c>
      <c r="B10" s="4">
        <v>0.4</v>
      </c>
      <c r="C10" s="4">
        <v>0.6</v>
      </c>
      <c r="D10" s="4">
        <v>0.5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1.1000000000000001</v>
      </c>
      <c r="E11" s="4">
        <v>1.5</v>
      </c>
      <c r="F11" s="4">
        <v>1.9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1.5</v>
      </c>
      <c r="E12" s="4">
        <v>2</v>
      </c>
      <c r="F12" s="4">
        <v>2.4</v>
      </c>
      <c r="G12" s="4">
        <v>2.5</v>
      </c>
    </row>
    <row r="13" spans="1:7" ht="18" x14ac:dyDescent="0.2">
      <c r="A13" s="2" t="s">
        <v>17</v>
      </c>
      <c r="B13" s="4"/>
      <c r="C13" s="4"/>
      <c r="D13" s="4"/>
      <c r="E13" s="4"/>
      <c r="F13" s="4"/>
      <c r="G13" s="4"/>
    </row>
    <row r="14" spans="1:7" ht="18" x14ac:dyDescent="0.2">
      <c r="A14" s="2" t="s">
        <v>18</v>
      </c>
      <c r="B14" s="4">
        <v>48.8</v>
      </c>
      <c r="C14" s="4">
        <v>46.2</v>
      </c>
      <c r="D14" s="4">
        <v>43.2</v>
      </c>
      <c r="E14" s="4">
        <v>47.5</v>
      </c>
      <c r="F14" s="4">
        <v>50.9</v>
      </c>
      <c r="G14" s="4">
        <v>55.6</v>
      </c>
    </row>
    <row r="15" spans="1:7" ht="18" x14ac:dyDescent="0.2">
      <c r="A15" s="2" t="s">
        <v>19</v>
      </c>
      <c r="B15" s="4">
        <v>51.2</v>
      </c>
      <c r="C15" s="4">
        <v>53.8</v>
      </c>
      <c r="D15" s="4">
        <v>56.8</v>
      </c>
      <c r="E15" s="4">
        <v>52.5</v>
      </c>
      <c r="F15" s="4">
        <v>49.1</v>
      </c>
      <c r="G15" s="4">
        <v>44.4</v>
      </c>
    </row>
    <row r="16" spans="1:7" ht="18" x14ac:dyDescent="0.2">
      <c r="A16" s="2" t="s">
        <v>20</v>
      </c>
      <c r="B16" s="4"/>
      <c r="C16" s="4"/>
      <c r="D16" s="4"/>
      <c r="E16" s="4"/>
      <c r="F16" s="4"/>
      <c r="G16" s="4"/>
    </row>
    <row r="17" spans="1:7" ht="18" x14ac:dyDescent="0.2">
      <c r="A17" s="2" t="s">
        <v>21</v>
      </c>
      <c r="B17" s="4">
        <v>54.9</v>
      </c>
      <c r="C17" s="4">
        <v>34.1</v>
      </c>
      <c r="D17" s="4">
        <v>44.1</v>
      </c>
      <c r="E17" s="4">
        <v>46.9</v>
      </c>
      <c r="F17" s="4">
        <v>65.3</v>
      </c>
      <c r="G17" s="4">
        <v>80.099999999999994</v>
      </c>
    </row>
    <row r="18" spans="1:7" ht="18" x14ac:dyDescent="0.2">
      <c r="A18" s="2" t="s">
        <v>22</v>
      </c>
      <c r="B18" s="4">
        <v>35.9</v>
      </c>
      <c r="C18" s="4">
        <v>11.9</v>
      </c>
      <c r="D18" s="4">
        <v>20.2</v>
      </c>
      <c r="E18" s="4">
        <v>28.6</v>
      </c>
      <c r="F18" s="4">
        <v>48.7</v>
      </c>
      <c r="G18" s="4">
        <v>65</v>
      </c>
    </row>
    <row r="19" spans="1:7" ht="18" x14ac:dyDescent="0.2">
      <c r="A19" s="2" t="s">
        <v>23</v>
      </c>
      <c r="B19" s="4">
        <v>19</v>
      </c>
      <c r="C19" s="4">
        <v>22.2</v>
      </c>
      <c r="D19" s="4">
        <v>23.8</v>
      </c>
      <c r="E19" s="4">
        <v>18.3</v>
      </c>
      <c r="F19" s="4">
        <v>16.7</v>
      </c>
      <c r="G19" s="4">
        <v>15.1</v>
      </c>
    </row>
    <row r="20" spans="1:7" ht="18" x14ac:dyDescent="0.2">
      <c r="A20" s="2" t="s">
        <v>24</v>
      </c>
      <c r="B20" s="4">
        <v>45.1</v>
      </c>
      <c r="C20" s="4">
        <v>65.900000000000006</v>
      </c>
      <c r="D20" s="4">
        <v>55.9</v>
      </c>
      <c r="E20" s="4">
        <v>53.1</v>
      </c>
      <c r="F20" s="4">
        <v>34.700000000000003</v>
      </c>
      <c r="G20" s="4">
        <v>19.899999999999999</v>
      </c>
    </row>
    <row r="21" spans="1:7" ht="18" x14ac:dyDescent="0.2">
      <c r="A21" s="2" t="s">
        <v>25</v>
      </c>
      <c r="B21" s="4"/>
      <c r="C21" s="4"/>
      <c r="D21" s="4"/>
      <c r="E21" s="4"/>
      <c r="F21" s="4"/>
      <c r="G21" s="4"/>
    </row>
    <row r="22" spans="1:7" ht="18" x14ac:dyDescent="0.2">
      <c r="A22" s="2" t="s">
        <v>26</v>
      </c>
      <c r="B22" s="4">
        <v>4.0999999999999996</v>
      </c>
      <c r="C22" s="4">
        <v>5.3</v>
      </c>
      <c r="D22" s="4">
        <v>4.5</v>
      </c>
      <c r="E22" s="4">
        <v>4.5</v>
      </c>
      <c r="F22" s="4">
        <v>4</v>
      </c>
      <c r="G22" s="4">
        <v>2.4</v>
      </c>
    </row>
    <row r="23" spans="1:7" ht="18" x14ac:dyDescent="0.2">
      <c r="A23" s="2" t="s">
        <v>27</v>
      </c>
      <c r="B23" s="4">
        <v>95.9</v>
      </c>
      <c r="C23" s="4">
        <v>94.7</v>
      </c>
      <c r="D23" s="4">
        <v>95.5</v>
      </c>
      <c r="E23" s="4">
        <v>95.5</v>
      </c>
      <c r="F23" s="4">
        <v>96</v>
      </c>
      <c r="G23" s="4">
        <v>97.6</v>
      </c>
    </row>
    <row r="24" spans="1:7" ht="18" x14ac:dyDescent="0.2">
      <c r="A24" s="2" t="s">
        <v>28</v>
      </c>
      <c r="B24" s="4"/>
      <c r="C24" s="4"/>
      <c r="D24" s="4"/>
      <c r="E24" s="4"/>
      <c r="F24" s="4"/>
      <c r="G24" s="4"/>
    </row>
    <row r="25" spans="1:7" ht="18" x14ac:dyDescent="0.2">
      <c r="A25" s="2" t="s">
        <v>29</v>
      </c>
      <c r="B25" s="4">
        <v>30.7</v>
      </c>
      <c r="C25" s="4">
        <v>27.6</v>
      </c>
      <c r="D25" s="4">
        <v>36.6</v>
      </c>
      <c r="E25" s="4">
        <v>36.4</v>
      </c>
      <c r="F25" s="4">
        <v>32.5</v>
      </c>
      <c r="G25" s="4">
        <v>20</v>
      </c>
    </row>
    <row r="26" spans="1:7" ht="18" x14ac:dyDescent="0.2">
      <c r="A26" s="2" t="s">
        <v>30</v>
      </c>
      <c r="B26" s="4">
        <v>69.3</v>
      </c>
      <c r="C26" s="4">
        <v>72.400000000000006</v>
      </c>
      <c r="D26" s="4">
        <v>63.4</v>
      </c>
      <c r="E26" s="4">
        <v>63.6</v>
      </c>
      <c r="F26" s="4">
        <v>67.5</v>
      </c>
      <c r="G26" s="4">
        <v>80</v>
      </c>
    </row>
    <row r="27" spans="1:7" ht="18" x14ac:dyDescent="0.2">
      <c r="A27" s="2" t="s">
        <v>31</v>
      </c>
      <c r="B27" s="4"/>
      <c r="C27" s="4"/>
      <c r="D27" s="4"/>
      <c r="E27" s="4"/>
      <c r="F27" s="4"/>
      <c r="G27" s="4"/>
    </row>
    <row r="28" spans="1:7" ht="18" x14ac:dyDescent="0.2">
      <c r="A28" s="2" t="s">
        <v>32</v>
      </c>
      <c r="B28" s="4">
        <v>4.4000000000000004</v>
      </c>
      <c r="C28" s="4">
        <v>6.1</v>
      </c>
      <c r="D28" s="4">
        <v>7.3</v>
      </c>
      <c r="E28" s="4">
        <v>4.5999999999999996</v>
      </c>
      <c r="F28" s="4">
        <v>3.8</v>
      </c>
      <c r="G28" s="4">
        <v>0.8</v>
      </c>
    </row>
    <row r="29" spans="1:7" ht="18" x14ac:dyDescent="0.2">
      <c r="A29" s="2" t="s">
        <v>33</v>
      </c>
      <c r="B29" s="4">
        <v>20.8</v>
      </c>
      <c r="C29" s="4">
        <v>26.6</v>
      </c>
      <c r="D29" s="4">
        <v>28.8</v>
      </c>
      <c r="E29" s="4">
        <v>24.2</v>
      </c>
      <c r="F29" s="4">
        <v>16.899999999999999</v>
      </c>
      <c r="G29" s="4">
        <v>9</v>
      </c>
    </row>
    <row r="30" spans="1:7" ht="18" x14ac:dyDescent="0.2">
      <c r="A30" s="2" t="s">
        <v>34</v>
      </c>
      <c r="B30" s="4">
        <v>74</v>
      </c>
      <c r="C30" s="4">
        <v>65.400000000000006</v>
      </c>
      <c r="D30" s="4">
        <v>62.5</v>
      </c>
      <c r="E30" s="4">
        <v>70.900000000000006</v>
      </c>
      <c r="F30" s="4">
        <v>79.099999999999994</v>
      </c>
      <c r="G30" s="4">
        <v>90.1</v>
      </c>
    </row>
    <row r="31" spans="1:7" ht="18" x14ac:dyDescent="0.2">
      <c r="A31" s="2" t="s">
        <v>35</v>
      </c>
      <c r="B31" s="4">
        <v>0.7</v>
      </c>
      <c r="C31" s="4">
        <v>2</v>
      </c>
      <c r="D31" s="4">
        <v>1.4</v>
      </c>
      <c r="E31" s="4">
        <v>0.2</v>
      </c>
      <c r="F31" s="4">
        <v>0.2</v>
      </c>
      <c r="G31" s="4">
        <v>0</v>
      </c>
    </row>
    <row r="32" spans="1:7" ht="18" x14ac:dyDescent="0.2">
      <c r="A32" s="2" t="s">
        <v>36</v>
      </c>
      <c r="B32" s="4">
        <v>91.1</v>
      </c>
      <c r="C32" s="4">
        <v>73</v>
      </c>
      <c r="D32" s="4">
        <v>90.6</v>
      </c>
      <c r="E32" s="4">
        <v>94.3</v>
      </c>
      <c r="F32" s="4">
        <v>97</v>
      </c>
      <c r="G32" s="4">
        <v>97.2</v>
      </c>
    </row>
    <row r="33" spans="1:12" ht="18" x14ac:dyDescent="0.2">
      <c r="A33" s="2" t="s">
        <v>37</v>
      </c>
      <c r="B33" s="5">
        <v>89922.25</v>
      </c>
      <c r="C33" s="5">
        <v>41965.09</v>
      </c>
      <c r="D33" s="5">
        <v>57681.25</v>
      </c>
      <c r="E33" s="5">
        <v>81265.73</v>
      </c>
      <c r="F33" s="5">
        <v>101307.94</v>
      </c>
      <c r="G33" s="5">
        <v>159084.69</v>
      </c>
    </row>
    <row r="34" spans="1:12" ht="18" x14ac:dyDescent="0.2">
      <c r="A34" s="2" t="s">
        <v>38</v>
      </c>
      <c r="B34" s="6">
        <v>12137.48</v>
      </c>
      <c r="C34" s="6">
        <v>6949.33</v>
      </c>
      <c r="D34" s="6">
        <v>9172.07</v>
      </c>
      <c r="E34" s="6">
        <v>11361</v>
      </c>
      <c r="F34" s="6">
        <v>13933.12</v>
      </c>
      <c r="G34" s="6">
        <v>18628.830000000002</v>
      </c>
      <c r="H34" s="10">
        <f>B34/$B$33</f>
        <v>0.13497749444659135</v>
      </c>
      <c r="I34" s="10">
        <f t="shared" ref="I34:K34" si="0">C34/$B$33</f>
        <v>7.7281540441881735E-2</v>
      </c>
      <c r="J34" s="10">
        <f t="shared" si="0"/>
        <v>0.10200000556035908</v>
      </c>
      <c r="K34" s="10">
        <f t="shared" si="0"/>
        <v>0.12634247919730657</v>
      </c>
      <c r="L34" s="10">
        <f>F34/$B$33</f>
        <v>0.15494630083210775</v>
      </c>
    </row>
    <row r="35" spans="1:12" ht="18" x14ac:dyDescent="0.2">
      <c r="A35" s="2" t="s">
        <v>39</v>
      </c>
      <c r="B35" s="6">
        <v>6875.28</v>
      </c>
      <c r="C35" s="6">
        <v>4744.59</v>
      </c>
      <c r="D35" s="6">
        <v>6042.44</v>
      </c>
      <c r="E35" s="6">
        <v>6587.24</v>
      </c>
      <c r="F35" s="6">
        <v>7408.68</v>
      </c>
      <c r="G35" s="6">
        <v>9331.2900000000009</v>
      </c>
      <c r="H35" s="10">
        <f t="shared" ref="H35:H98" si="1">B35/$B$33</f>
        <v>7.6458051260950427E-2</v>
      </c>
      <c r="I35" s="10">
        <f t="shared" ref="I35:I98" si="2">C35/$B$33</f>
        <v>5.276324825057202E-2</v>
      </c>
      <c r="J35" s="10">
        <f t="shared" ref="J35:J98" si="3">D35/$B$33</f>
        <v>6.7196272335267412E-2</v>
      </c>
      <c r="K35" s="10">
        <f t="shared" ref="K35:K98" si="4">E35/$B$33</f>
        <v>7.3254839597541213E-2</v>
      </c>
      <c r="L35" s="10">
        <f t="shared" ref="L35:L98" si="5">F35/$B$33</f>
        <v>8.2389842336018065E-2</v>
      </c>
    </row>
    <row r="36" spans="1:12" ht="18" x14ac:dyDescent="0.2">
      <c r="A36" s="2" t="s">
        <v>40</v>
      </c>
      <c r="B36" s="4">
        <v>892</v>
      </c>
      <c r="C36" s="4">
        <v>599.58000000000004</v>
      </c>
      <c r="D36" s="4">
        <v>768.09</v>
      </c>
      <c r="E36" s="4">
        <v>900.21</v>
      </c>
      <c r="F36" s="4">
        <v>962.91</v>
      </c>
      <c r="G36" s="6">
        <v>1195.93</v>
      </c>
      <c r="H36" s="10">
        <f t="shared" si="1"/>
        <v>9.919680612973986E-3</v>
      </c>
      <c r="I36" s="10">
        <f t="shared" si="2"/>
        <v>6.6677602039539718E-3</v>
      </c>
      <c r="J36" s="10">
        <f t="shared" si="3"/>
        <v>8.541712423788329E-3</v>
      </c>
      <c r="K36" s="10">
        <f t="shared" si="4"/>
        <v>1.001098170919878E-2</v>
      </c>
      <c r="L36" s="10">
        <f t="shared" si="5"/>
        <v>1.0708250738832713E-2</v>
      </c>
    </row>
    <row r="37" spans="1:12" ht="18" x14ac:dyDescent="0.2">
      <c r="A37" s="2" t="s">
        <v>41</v>
      </c>
      <c r="B37" s="4">
        <v>273.87</v>
      </c>
      <c r="C37" s="4">
        <v>179.3</v>
      </c>
      <c r="D37" s="4">
        <v>225.94</v>
      </c>
      <c r="E37" s="4">
        <v>294.39</v>
      </c>
      <c r="F37" s="4">
        <v>290.41000000000003</v>
      </c>
      <c r="G37" s="4">
        <v>369.52</v>
      </c>
      <c r="H37" s="10">
        <f t="shared" si="1"/>
        <v>3.0456310868555892E-3</v>
      </c>
      <c r="I37" s="10">
        <f t="shared" si="2"/>
        <v>1.993944768953179E-3</v>
      </c>
      <c r="J37" s="10">
        <f t="shared" si="3"/>
        <v>2.5126150646808771E-3</v>
      </c>
      <c r="K37" s="10">
        <f t="shared" si="4"/>
        <v>3.2738282238266945E-3</v>
      </c>
      <c r="L37" s="10">
        <f t="shared" si="5"/>
        <v>3.2295677654862955E-3</v>
      </c>
    </row>
    <row r="38" spans="1:12" ht="18" x14ac:dyDescent="0.2">
      <c r="A38" s="2" t="s">
        <v>42</v>
      </c>
      <c r="B38" s="4">
        <v>618.13</v>
      </c>
      <c r="C38" s="4">
        <v>420.28</v>
      </c>
      <c r="D38" s="4">
        <v>542.15</v>
      </c>
      <c r="E38" s="4">
        <v>605.83000000000004</v>
      </c>
      <c r="F38" s="4">
        <v>672.5</v>
      </c>
      <c r="G38" s="4">
        <v>826.42</v>
      </c>
      <c r="H38" s="10">
        <f t="shared" si="1"/>
        <v>6.8740495261183964E-3</v>
      </c>
      <c r="I38" s="10">
        <f t="shared" si="2"/>
        <v>4.6738154350007919E-3</v>
      </c>
      <c r="J38" s="10">
        <f t="shared" si="3"/>
        <v>6.029097359107451E-3</v>
      </c>
      <c r="K38" s="10">
        <f t="shared" si="4"/>
        <v>6.7372646925538456E-3</v>
      </c>
      <c r="L38" s="10">
        <f t="shared" si="5"/>
        <v>7.4786829733464186E-3</v>
      </c>
    </row>
    <row r="39" spans="1:12" ht="18" x14ac:dyDescent="0.2">
      <c r="A39" s="2" t="s">
        <v>43</v>
      </c>
      <c r="B39" s="6">
        <v>1403.4</v>
      </c>
      <c r="C39" s="6">
        <v>1027.75</v>
      </c>
      <c r="D39" s="6">
        <v>1373.59</v>
      </c>
      <c r="E39" s="6">
        <v>1284.9100000000001</v>
      </c>
      <c r="F39" s="6">
        <v>1517.31</v>
      </c>
      <c r="G39" s="6">
        <v>1762.54</v>
      </c>
      <c r="H39" s="10">
        <f t="shared" si="1"/>
        <v>1.560681588817006E-2</v>
      </c>
      <c r="I39" s="10">
        <f t="shared" si="2"/>
        <v>1.1429318105363245E-2</v>
      </c>
      <c r="J39" s="10">
        <f t="shared" si="3"/>
        <v>1.5275307279344098E-2</v>
      </c>
      <c r="K39" s="10">
        <f t="shared" si="4"/>
        <v>1.4289121991498212E-2</v>
      </c>
      <c r="L39" s="10">
        <f t="shared" si="5"/>
        <v>1.6873576895595918E-2</v>
      </c>
    </row>
    <row r="40" spans="1:12" ht="18" x14ac:dyDescent="0.2">
      <c r="A40" s="2" t="s">
        <v>44</v>
      </c>
      <c r="B40" s="4">
        <v>325.95999999999998</v>
      </c>
      <c r="C40" s="4">
        <v>232.09</v>
      </c>
      <c r="D40" s="4">
        <v>312.22000000000003</v>
      </c>
      <c r="E40" s="4">
        <v>300.02</v>
      </c>
      <c r="F40" s="4">
        <v>376.86</v>
      </c>
      <c r="G40" s="4">
        <v>395.98</v>
      </c>
      <c r="H40" s="10">
        <f t="shared" si="1"/>
        <v>3.6249092966423768E-3</v>
      </c>
      <c r="I40" s="10">
        <f t="shared" si="2"/>
        <v>2.5810074814631529E-3</v>
      </c>
      <c r="J40" s="10">
        <f t="shared" si="3"/>
        <v>3.4721106289044151E-3</v>
      </c>
      <c r="K40" s="10">
        <f t="shared" si="4"/>
        <v>3.3364378671574607E-3</v>
      </c>
      <c r="L40" s="10">
        <f t="shared" si="5"/>
        <v>4.1909538517997495E-3</v>
      </c>
    </row>
    <row r="41" spans="1:12" ht="18" x14ac:dyDescent="0.2">
      <c r="A41" s="2" t="s">
        <v>45</v>
      </c>
      <c r="B41" s="4">
        <v>276.19</v>
      </c>
      <c r="C41" s="4">
        <v>182.15</v>
      </c>
      <c r="D41" s="4">
        <v>316.62</v>
      </c>
      <c r="E41" s="4">
        <v>237.65</v>
      </c>
      <c r="F41" s="4">
        <v>298.95999999999998</v>
      </c>
      <c r="G41" s="4">
        <v>331.55</v>
      </c>
      <c r="H41" s="10">
        <f t="shared" si="1"/>
        <v>3.0714311530238621E-3</v>
      </c>
      <c r="I41" s="10">
        <f t="shared" si="2"/>
        <v>2.0256388157547213E-3</v>
      </c>
      <c r="J41" s="10">
        <f t="shared" si="3"/>
        <v>3.5210417888787257E-3</v>
      </c>
      <c r="K41" s="10">
        <f t="shared" si="4"/>
        <v>2.6428386745216007E-3</v>
      </c>
      <c r="L41" s="10">
        <f t="shared" si="5"/>
        <v>3.324649905890922E-3</v>
      </c>
    </row>
    <row r="42" spans="1:12" ht="18" x14ac:dyDescent="0.2">
      <c r="A42" s="2" t="s">
        <v>46</v>
      </c>
      <c r="B42" s="4">
        <v>161.9</v>
      </c>
      <c r="C42" s="4">
        <v>117.59</v>
      </c>
      <c r="D42" s="4">
        <v>169.8</v>
      </c>
      <c r="E42" s="4">
        <v>146.19</v>
      </c>
      <c r="F42" s="4">
        <v>158.19</v>
      </c>
      <c r="G42" s="4">
        <v>211.59</v>
      </c>
      <c r="H42" s="10">
        <f t="shared" si="1"/>
        <v>1.8004442726911305E-3</v>
      </c>
      <c r="I42" s="10">
        <f t="shared" si="2"/>
        <v>1.3076852503134653E-3</v>
      </c>
      <c r="J42" s="10">
        <f t="shared" si="3"/>
        <v>1.8882979462813709E-3</v>
      </c>
      <c r="K42" s="10">
        <f t="shared" si="4"/>
        <v>1.6257377901464877E-3</v>
      </c>
      <c r="L42" s="10">
        <f t="shared" si="5"/>
        <v>1.7591864082582454E-3</v>
      </c>
    </row>
    <row r="43" spans="1:12" ht="18" x14ac:dyDescent="0.2">
      <c r="A43" s="2" t="s">
        <v>47</v>
      </c>
      <c r="B43" s="4">
        <v>279.06</v>
      </c>
      <c r="C43" s="4">
        <v>205.99</v>
      </c>
      <c r="D43" s="4">
        <v>248.58</v>
      </c>
      <c r="E43" s="4">
        <v>276.43</v>
      </c>
      <c r="F43" s="4">
        <v>318.04000000000002</v>
      </c>
      <c r="G43" s="4">
        <v>337.55</v>
      </c>
      <c r="H43" s="10">
        <f t="shared" si="1"/>
        <v>3.1033476141889243E-3</v>
      </c>
      <c r="I43" s="10">
        <f t="shared" si="2"/>
        <v>2.29075673707008E-3</v>
      </c>
      <c r="J43" s="10">
        <f t="shared" si="3"/>
        <v>2.7643881241850598E-3</v>
      </c>
      <c r="K43" s="10">
        <f t="shared" si="4"/>
        <v>3.0741001253860975E-3</v>
      </c>
      <c r="L43" s="10">
        <f t="shared" si="5"/>
        <v>3.5368332086886172E-3</v>
      </c>
    </row>
    <row r="44" spans="1:12" ht="18" x14ac:dyDescent="0.2">
      <c r="A44" s="2" t="s">
        <v>48</v>
      </c>
      <c r="B44" s="4">
        <v>236.37</v>
      </c>
      <c r="C44" s="4">
        <v>191.72</v>
      </c>
      <c r="D44" s="4">
        <v>214.56</v>
      </c>
      <c r="E44" s="4">
        <v>211.72</v>
      </c>
      <c r="F44" s="4">
        <v>223.96</v>
      </c>
      <c r="G44" s="4">
        <v>334</v>
      </c>
      <c r="H44" s="10">
        <f t="shared" si="1"/>
        <v>2.6286041552563465E-3</v>
      </c>
      <c r="I44" s="10">
        <f t="shared" si="2"/>
        <v>2.1320640886988481E-3</v>
      </c>
      <c r="J44" s="10">
        <f t="shared" si="3"/>
        <v>2.3860612918382268E-3</v>
      </c>
      <c r="K44" s="10">
        <f t="shared" si="4"/>
        <v>2.3544784522184442E-3</v>
      </c>
      <c r="L44" s="10">
        <f t="shared" si="5"/>
        <v>2.4905960426924371E-3</v>
      </c>
    </row>
    <row r="45" spans="1:12" ht="18" x14ac:dyDescent="0.2">
      <c r="A45" s="2" t="s">
        <v>49</v>
      </c>
      <c r="B45" s="4">
        <v>123.92</v>
      </c>
      <c r="C45" s="4">
        <v>98.21</v>
      </c>
      <c r="D45" s="4">
        <v>111.81</v>
      </c>
      <c r="E45" s="4">
        <v>112.9</v>
      </c>
      <c r="F45" s="4">
        <v>141.30000000000001</v>
      </c>
      <c r="G45" s="4">
        <v>151.88</v>
      </c>
      <c r="H45" s="10">
        <f t="shared" si="1"/>
        <v>1.3780793963674173E-3</v>
      </c>
      <c r="I45" s="10">
        <f t="shared" si="2"/>
        <v>1.0921657320629766E-3</v>
      </c>
      <c r="J45" s="10">
        <f t="shared" si="3"/>
        <v>1.2434074992563021E-3</v>
      </c>
      <c r="K45" s="10">
        <f t="shared" si="4"/>
        <v>1.2555290820681201E-3</v>
      </c>
      <c r="L45" s="10">
        <f t="shared" si="5"/>
        <v>1.5713574782659466E-3</v>
      </c>
    </row>
    <row r="46" spans="1:12" ht="18" x14ac:dyDescent="0.2">
      <c r="A46" s="2" t="s">
        <v>50</v>
      </c>
      <c r="B46" s="4">
        <v>639.74</v>
      </c>
      <c r="C46" s="4">
        <v>468.75</v>
      </c>
      <c r="D46" s="4">
        <v>610.82000000000005</v>
      </c>
      <c r="E46" s="4">
        <v>600.6</v>
      </c>
      <c r="F46" s="4">
        <v>682.18</v>
      </c>
      <c r="G46" s="4">
        <v>814.17</v>
      </c>
      <c r="H46" s="10">
        <f t="shared" si="1"/>
        <v>7.1143682459013204E-3</v>
      </c>
      <c r="I46" s="10">
        <f t="shared" si="2"/>
        <v>5.2128366449905334E-3</v>
      </c>
      <c r="J46" s="10">
        <f t="shared" si="3"/>
        <v>6.7927570762519847E-3</v>
      </c>
      <c r="K46" s="10">
        <f t="shared" si="4"/>
        <v>6.6791033364934707E-3</v>
      </c>
      <c r="L46" s="10">
        <f t="shared" si="5"/>
        <v>7.5863315252899027E-3</v>
      </c>
    </row>
    <row r="47" spans="1:12" ht="18" x14ac:dyDescent="0.2">
      <c r="A47" s="2" t="s">
        <v>51</v>
      </c>
      <c r="B47" s="4">
        <v>191.74</v>
      </c>
      <c r="C47" s="4">
        <v>141.37</v>
      </c>
      <c r="D47" s="4">
        <v>187.35</v>
      </c>
      <c r="E47" s="4">
        <v>177.34</v>
      </c>
      <c r="F47" s="4">
        <v>208.49</v>
      </c>
      <c r="G47" s="4">
        <v>237.4</v>
      </c>
      <c r="H47" s="10">
        <f t="shared" si="1"/>
        <v>2.132286503062368E-3</v>
      </c>
      <c r="I47" s="10">
        <f t="shared" si="2"/>
        <v>1.5721359285382651E-3</v>
      </c>
      <c r="J47" s="10">
        <f t="shared" si="3"/>
        <v>2.0834665502698162E-3</v>
      </c>
      <c r="K47" s="10">
        <f t="shared" si="4"/>
        <v>1.9721481613282584E-3</v>
      </c>
      <c r="L47" s="10">
        <f t="shared" si="5"/>
        <v>2.3185585325100296E-3</v>
      </c>
    </row>
    <row r="48" spans="1:12" ht="18" x14ac:dyDescent="0.2">
      <c r="A48" s="2" t="s">
        <v>52</v>
      </c>
      <c r="B48" s="4">
        <v>447.99</v>
      </c>
      <c r="C48" s="4">
        <v>327.38</v>
      </c>
      <c r="D48" s="4">
        <v>423.47</v>
      </c>
      <c r="E48" s="4">
        <v>423.26</v>
      </c>
      <c r="F48" s="4">
        <v>473.69</v>
      </c>
      <c r="G48" s="4">
        <v>576.77</v>
      </c>
      <c r="H48" s="10">
        <f t="shared" si="1"/>
        <v>4.9819705356571927E-3</v>
      </c>
      <c r="I48" s="10">
        <f t="shared" si="2"/>
        <v>3.6407007164522684E-3</v>
      </c>
      <c r="J48" s="10">
        <f t="shared" si="3"/>
        <v>4.7092905259821681E-3</v>
      </c>
      <c r="K48" s="10">
        <f t="shared" si="4"/>
        <v>4.7069551751652118E-3</v>
      </c>
      <c r="L48" s="10">
        <f t="shared" si="5"/>
        <v>5.2677729927798735E-3</v>
      </c>
    </row>
    <row r="49" spans="1:12" ht="18" x14ac:dyDescent="0.2">
      <c r="A49" s="2" t="s">
        <v>53</v>
      </c>
      <c r="B49" s="6">
        <v>1347.74</v>
      </c>
      <c r="C49" s="4">
        <v>960.39</v>
      </c>
      <c r="D49" s="6">
        <v>1154.3800000000001</v>
      </c>
      <c r="E49" s="6">
        <v>1288.75</v>
      </c>
      <c r="F49" s="6">
        <v>1476.13</v>
      </c>
      <c r="G49" s="6">
        <v>1812.36</v>
      </c>
      <c r="H49" s="10">
        <f t="shared" si="1"/>
        <v>1.4987836714495021E-2</v>
      </c>
      <c r="I49" s="10">
        <f t="shared" si="2"/>
        <v>1.0680226529029245E-2</v>
      </c>
      <c r="J49" s="10">
        <f t="shared" si="3"/>
        <v>1.2837534647987568E-2</v>
      </c>
      <c r="K49" s="10">
        <f t="shared" si="4"/>
        <v>1.4331825549293973E-2</v>
      </c>
      <c r="L49" s="10">
        <f t="shared" si="5"/>
        <v>1.6415625721109071E-2</v>
      </c>
    </row>
    <row r="50" spans="1:12" ht="18" x14ac:dyDescent="0.2">
      <c r="A50" s="2" t="s">
        <v>54</v>
      </c>
      <c r="B50" s="4">
        <v>561.13</v>
      </c>
      <c r="C50" s="4">
        <v>382.29</v>
      </c>
      <c r="D50" s="4">
        <v>469.95</v>
      </c>
      <c r="E50" s="4">
        <v>509.8</v>
      </c>
      <c r="F50" s="4">
        <v>644.80999999999995</v>
      </c>
      <c r="G50" s="4">
        <v>776.05</v>
      </c>
      <c r="H50" s="10">
        <f t="shared" si="1"/>
        <v>6.2401685900875482E-3</v>
      </c>
      <c r="I50" s="10">
        <f t="shared" si="2"/>
        <v>4.2513393514953196E-3</v>
      </c>
      <c r="J50" s="10">
        <f t="shared" si="3"/>
        <v>5.226181506801709E-3</v>
      </c>
      <c r="K50" s="10">
        <f t="shared" si="4"/>
        <v>5.6693421261145042E-3</v>
      </c>
      <c r="L50" s="10">
        <f t="shared" si="5"/>
        <v>7.1707502870535372E-3</v>
      </c>
    </row>
    <row r="51" spans="1:12" ht="18" x14ac:dyDescent="0.2">
      <c r="A51" s="2" t="s">
        <v>55</v>
      </c>
      <c r="B51" s="4">
        <v>505.46</v>
      </c>
      <c r="C51" s="4">
        <v>373.18</v>
      </c>
      <c r="D51" s="4">
        <v>458.71</v>
      </c>
      <c r="E51" s="4">
        <v>487.4</v>
      </c>
      <c r="F51" s="4">
        <v>545.29</v>
      </c>
      <c r="G51" s="4">
        <v>646.52</v>
      </c>
      <c r="H51" s="10">
        <f t="shared" si="1"/>
        <v>5.6210782092307515E-3</v>
      </c>
      <c r="I51" s="10">
        <f t="shared" si="2"/>
        <v>4.1500296089121433E-3</v>
      </c>
      <c r="J51" s="10">
        <f t="shared" si="3"/>
        <v>5.101184634503696E-3</v>
      </c>
      <c r="K51" s="10">
        <f t="shared" si="4"/>
        <v>5.4202380389725569E-3</v>
      </c>
      <c r="L51" s="10">
        <f t="shared" si="5"/>
        <v>6.0640164141800273E-3</v>
      </c>
    </row>
    <row r="52" spans="1:12" ht="18" x14ac:dyDescent="0.2">
      <c r="A52" s="2" t="s">
        <v>56</v>
      </c>
      <c r="B52" s="4">
        <v>89.71</v>
      </c>
      <c r="C52" s="4">
        <v>73.58</v>
      </c>
      <c r="D52" s="4">
        <v>76.849999999999994</v>
      </c>
      <c r="E52" s="4">
        <v>91.35</v>
      </c>
      <c r="F52" s="4">
        <v>89.22</v>
      </c>
      <c r="G52" s="4">
        <v>115.93</v>
      </c>
      <c r="H52" s="10">
        <f t="shared" si="1"/>
        <v>9.9763962756714824E-4</v>
      </c>
      <c r="I52" s="10">
        <f t="shared" si="2"/>
        <v>8.1826244338859401E-4</v>
      </c>
      <c r="J52" s="10">
        <f t="shared" si="3"/>
        <v>8.5462719182404791E-4</v>
      </c>
      <c r="K52" s="10">
        <f t="shared" si="4"/>
        <v>1.015877605375755E-3</v>
      </c>
      <c r="L52" s="10">
        <f t="shared" si="5"/>
        <v>9.921904756609182E-4</v>
      </c>
    </row>
    <row r="53" spans="1:12" ht="18" x14ac:dyDescent="0.2">
      <c r="A53" s="2" t="s">
        <v>57</v>
      </c>
      <c r="B53" s="4">
        <v>102.37</v>
      </c>
      <c r="C53" s="4">
        <v>81.760000000000005</v>
      </c>
      <c r="D53" s="4">
        <v>75.83</v>
      </c>
      <c r="E53" s="4">
        <v>112.08</v>
      </c>
      <c r="F53" s="4">
        <v>105.35</v>
      </c>
      <c r="G53" s="4">
        <v>135.24</v>
      </c>
      <c r="H53" s="10">
        <f t="shared" si="1"/>
        <v>1.1384279196750527E-3</v>
      </c>
      <c r="I53" s="10">
        <f t="shared" si="2"/>
        <v>9.0922991806810884E-4</v>
      </c>
      <c r="J53" s="10">
        <f t="shared" si="3"/>
        <v>8.4328405928454854E-4</v>
      </c>
      <c r="K53" s="10">
        <f t="shared" si="4"/>
        <v>1.2464100931638166E-3</v>
      </c>
      <c r="L53" s="10">
        <f t="shared" si="5"/>
        <v>1.1715676598394724E-3</v>
      </c>
    </row>
    <row r="54" spans="1:12" ht="18" x14ac:dyDescent="0.2">
      <c r="A54" s="2" t="s">
        <v>58</v>
      </c>
      <c r="B54" s="4">
        <v>89.07</v>
      </c>
      <c r="C54" s="4">
        <v>49.58</v>
      </c>
      <c r="D54" s="4">
        <v>73.040000000000006</v>
      </c>
      <c r="E54" s="4">
        <v>88.13</v>
      </c>
      <c r="F54" s="4">
        <v>91.45</v>
      </c>
      <c r="G54" s="4">
        <v>138.61000000000001</v>
      </c>
      <c r="H54" s="10">
        <f t="shared" si="1"/>
        <v>9.9052236793452115E-4</v>
      </c>
      <c r="I54" s="10">
        <f t="shared" si="2"/>
        <v>5.5136520716507866E-4</v>
      </c>
      <c r="J54" s="10">
        <f t="shared" si="3"/>
        <v>8.1225725557356506E-4</v>
      </c>
      <c r="K54" s="10">
        <f t="shared" si="4"/>
        <v>9.8006889284910016E-4</v>
      </c>
      <c r="L54" s="10">
        <f t="shared" si="5"/>
        <v>1.0169896771933531E-3</v>
      </c>
    </row>
    <row r="55" spans="1:12" ht="18" x14ac:dyDescent="0.2">
      <c r="A55" s="2" t="s">
        <v>59</v>
      </c>
      <c r="B55" s="6">
        <v>2592.4</v>
      </c>
      <c r="C55" s="6">
        <v>1688.13</v>
      </c>
      <c r="D55" s="6">
        <v>2135.5700000000002</v>
      </c>
      <c r="E55" s="6">
        <v>2512.77</v>
      </c>
      <c r="F55" s="6">
        <v>2770.15</v>
      </c>
      <c r="G55" s="6">
        <v>3746.28</v>
      </c>
      <c r="H55" s="10">
        <f t="shared" si="1"/>
        <v>2.8829349799410046E-2</v>
      </c>
      <c r="I55" s="10">
        <f t="shared" si="2"/>
        <v>1.8773217974416789E-2</v>
      </c>
      <c r="J55" s="10">
        <f t="shared" si="3"/>
        <v>2.3749072115077194E-2</v>
      </c>
      <c r="K55" s="10">
        <f t="shared" si="4"/>
        <v>2.7943807011056775E-2</v>
      </c>
      <c r="L55" s="10">
        <f t="shared" si="5"/>
        <v>3.0806057455190456E-2</v>
      </c>
    </row>
    <row r="56" spans="1:12" ht="18" x14ac:dyDescent="0.2">
      <c r="A56" s="2" t="s">
        <v>60</v>
      </c>
      <c r="B56" s="4">
        <v>224.14</v>
      </c>
      <c r="C56" s="4">
        <v>170.13</v>
      </c>
      <c r="D56" s="4">
        <v>202.22</v>
      </c>
      <c r="E56" s="4">
        <v>220.11</v>
      </c>
      <c r="F56" s="4">
        <v>203.38</v>
      </c>
      <c r="G56" s="4">
        <v>318.77</v>
      </c>
      <c r="H56" s="10">
        <f t="shared" si="1"/>
        <v>2.4925977719641133E-3</v>
      </c>
      <c r="I56" s="10">
        <f t="shared" si="2"/>
        <v>1.8919677832794442E-3</v>
      </c>
      <c r="J56" s="10">
        <f t="shared" si="3"/>
        <v>2.2488316295466359E-3</v>
      </c>
      <c r="K56" s="10">
        <f t="shared" si="4"/>
        <v>2.4477812777149149E-3</v>
      </c>
      <c r="L56" s="10">
        <f t="shared" si="5"/>
        <v>2.2617316626307726E-3</v>
      </c>
    </row>
    <row r="57" spans="1:12" ht="18" x14ac:dyDescent="0.2">
      <c r="A57" s="2" t="s">
        <v>61</v>
      </c>
      <c r="B57" s="4">
        <v>155.72999999999999</v>
      </c>
      <c r="C57" s="4">
        <v>129.12</v>
      </c>
      <c r="D57" s="4">
        <v>140.09</v>
      </c>
      <c r="E57" s="4">
        <v>156.91</v>
      </c>
      <c r="F57" s="4">
        <v>154.63999999999999</v>
      </c>
      <c r="G57" s="4">
        <v>195.04</v>
      </c>
      <c r="H57" s="10">
        <f t="shared" si="1"/>
        <v>1.7318294415453349E-3</v>
      </c>
      <c r="I57" s="10">
        <f t="shared" si="2"/>
        <v>1.4359071308825124E-3</v>
      </c>
      <c r="J57" s="10">
        <f t="shared" si="3"/>
        <v>1.5579014092730109E-3</v>
      </c>
      <c r="K57" s="10">
        <f t="shared" si="4"/>
        <v>1.7449518889929912E-3</v>
      </c>
      <c r="L57" s="10">
        <f t="shared" si="5"/>
        <v>1.7197078587335168E-3</v>
      </c>
    </row>
    <row r="58" spans="1:12" ht="18" x14ac:dyDescent="0.2">
      <c r="A58" s="2" t="s">
        <v>62</v>
      </c>
      <c r="B58" s="6">
        <v>1407.18</v>
      </c>
      <c r="C58" s="4">
        <v>892.67</v>
      </c>
      <c r="D58" s="6">
        <v>1126.8699999999999</v>
      </c>
      <c r="E58" s="6">
        <v>1333.18</v>
      </c>
      <c r="F58" s="6">
        <v>1529.48</v>
      </c>
      <c r="G58" s="6">
        <v>2092.7800000000002</v>
      </c>
      <c r="H58" s="10">
        <f t="shared" si="1"/>
        <v>1.5648852202875263E-2</v>
      </c>
      <c r="I58" s="10">
        <f t="shared" si="2"/>
        <v>9.9271314941518918E-3</v>
      </c>
      <c r="J58" s="10">
        <f t="shared" si="3"/>
        <v>1.2531603690966361E-2</v>
      </c>
      <c r="K58" s="10">
        <f t="shared" si="4"/>
        <v>1.4825919057852757E-2</v>
      </c>
      <c r="L58" s="10">
        <f t="shared" si="5"/>
        <v>1.7008916035797593E-2</v>
      </c>
    </row>
    <row r="59" spans="1:12" ht="18" x14ac:dyDescent="0.2">
      <c r="A59" s="2" t="s">
        <v>63</v>
      </c>
      <c r="B59" s="4">
        <v>694.93</v>
      </c>
      <c r="C59" s="4">
        <v>451.4</v>
      </c>
      <c r="D59" s="4">
        <v>596.22</v>
      </c>
      <c r="E59" s="4">
        <v>708.88</v>
      </c>
      <c r="F59" s="4">
        <v>756.85</v>
      </c>
      <c r="G59" s="4">
        <v>933.78</v>
      </c>
      <c r="H59" s="10">
        <f t="shared" si="1"/>
        <v>7.7281206820336455E-3</v>
      </c>
      <c r="I59" s="10">
        <f t="shared" si="2"/>
        <v>5.0198921846372835E-3</v>
      </c>
      <c r="J59" s="10">
        <f t="shared" si="3"/>
        <v>6.6303945908826791E-3</v>
      </c>
      <c r="K59" s="10">
        <f t="shared" si="4"/>
        <v>7.8832547005885639E-3</v>
      </c>
      <c r="L59" s="10">
        <f t="shared" si="5"/>
        <v>8.4167155514903152E-3</v>
      </c>
    </row>
    <row r="60" spans="1:12" ht="18" x14ac:dyDescent="0.2">
      <c r="A60" s="2" t="s">
        <v>64</v>
      </c>
      <c r="B60" s="4">
        <v>110.42</v>
      </c>
      <c r="C60" s="4">
        <v>44.81</v>
      </c>
      <c r="D60" s="4">
        <v>70.17</v>
      </c>
      <c r="E60" s="4">
        <v>93.69</v>
      </c>
      <c r="F60" s="4">
        <v>125.79</v>
      </c>
      <c r="G60" s="4">
        <v>205.92</v>
      </c>
      <c r="H60" s="10">
        <f t="shared" si="1"/>
        <v>1.2279497009916901E-3</v>
      </c>
      <c r="I60" s="10">
        <f t="shared" si="2"/>
        <v>4.9831938146565507E-4</v>
      </c>
      <c r="J60" s="10">
        <f t="shared" si="3"/>
        <v>7.8034079440850287E-4</v>
      </c>
      <c r="K60" s="10">
        <f t="shared" si="4"/>
        <v>1.0419000859075479E-3</v>
      </c>
      <c r="L60" s="10">
        <f t="shared" si="5"/>
        <v>1.3988751393564998E-3</v>
      </c>
    </row>
    <row r="61" spans="1:12" ht="18" x14ac:dyDescent="0.2">
      <c r="A61" s="2" t="s">
        <v>65</v>
      </c>
      <c r="B61" s="6">
        <v>5262.2</v>
      </c>
      <c r="C61" s="6">
        <v>2204.7399999999998</v>
      </c>
      <c r="D61" s="6">
        <v>3129.63</v>
      </c>
      <c r="E61" s="6">
        <v>4773.7700000000004</v>
      </c>
      <c r="F61" s="6">
        <v>6524.44</v>
      </c>
      <c r="G61" s="6">
        <v>9297.5300000000007</v>
      </c>
      <c r="H61" s="10">
        <f t="shared" si="1"/>
        <v>5.8519443185640924E-2</v>
      </c>
      <c r="I61" s="10">
        <f t="shared" si="2"/>
        <v>2.4518292191309712E-2</v>
      </c>
      <c r="J61" s="10">
        <f t="shared" si="3"/>
        <v>3.4803733225091678E-2</v>
      </c>
      <c r="K61" s="10">
        <f t="shared" si="4"/>
        <v>5.3087750806947116E-2</v>
      </c>
      <c r="L61" s="10">
        <f t="shared" si="5"/>
        <v>7.2556458496089674E-2</v>
      </c>
    </row>
    <row r="62" spans="1:12" ht="18" x14ac:dyDescent="0.2">
      <c r="A62" s="2" t="s">
        <v>66</v>
      </c>
      <c r="B62" s="4">
        <v>800.55</v>
      </c>
      <c r="C62" s="4">
        <v>331.09</v>
      </c>
      <c r="D62" s="4">
        <v>441.14</v>
      </c>
      <c r="E62" s="4">
        <v>628.54999999999995</v>
      </c>
      <c r="F62" s="4">
        <v>979.47</v>
      </c>
      <c r="G62" s="6">
        <v>1552.79</v>
      </c>
      <c r="H62" s="10">
        <f t="shared" si="1"/>
        <v>8.9026909357806314E-3</v>
      </c>
      <c r="I62" s="10">
        <f t="shared" si="2"/>
        <v>3.6819585808851533E-3</v>
      </c>
      <c r="J62" s="10">
        <f t="shared" si="3"/>
        <v>4.9057936161517306E-3</v>
      </c>
      <c r="K62" s="10">
        <f t="shared" si="4"/>
        <v>6.9899274095121056E-3</v>
      </c>
      <c r="L62" s="10">
        <f t="shared" si="5"/>
        <v>1.0892409831826939E-2</v>
      </c>
    </row>
    <row r="63" spans="1:12" ht="18" x14ac:dyDescent="0.2">
      <c r="A63" s="2" t="s">
        <v>67</v>
      </c>
      <c r="B63" s="6">
        <v>32917.879999999997</v>
      </c>
      <c r="C63" s="6">
        <v>18157.27</v>
      </c>
      <c r="D63" s="6">
        <v>23620.45</v>
      </c>
      <c r="E63" s="6">
        <v>30144.34</v>
      </c>
      <c r="F63" s="6">
        <v>36710.639999999999</v>
      </c>
      <c r="G63" s="6">
        <v>53277.96</v>
      </c>
      <c r="H63" s="10">
        <f t="shared" si="1"/>
        <v>0.36607046643072205</v>
      </c>
      <c r="I63" s="10">
        <f t="shared" si="2"/>
        <v>0.20192188251517285</v>
      </c>
      <c r="J63" s="10">
        <f t="shared" si="3"/>
        <v>0.26267636763982216</v>
      </c>
      <c r="K63" s="10">
        <f t="shared" si="4"/>
        <v>0.33522670974091506</v>
      </c>
      <c r="L63" s="10">
        <f t="shared" si="5"/>
        <v>0.40824868149985127</v>
      </c>
    </row>
    <row r="64" spans="1:12" ht="18" x14ac:dyDescent="0.2">
      <c r="A64" s="2" t="s">
        <v>68</v>
      </c>
      <c r="B64" s="6">
        <v>21547.95</v>
      </c>
      <c r="C64" s="6">
        <v>12715.17</v>
      </c>
      <c r="D64" s="6">
        <v>15830.13</v>
      </c>
      <c r="E64" s="6">
        <v>20149.23</v>
      </c>
      <c r="F64" s="6">
        <v>22972.02</v>
      </c>
      <c r="G64" s="6">
        <v>34482.61</v>
      </c>
      <c r="H64" s="10">
        <f t="shared" si="1"/>
        <v>0.23962867922010403</v>
      </c>
      <c r="I64" s="10">
        <f t="shared" si="2"/>
        <v>0.14140182212967314</v>
      </c>
      <c r="J64" s="10">
        <f t="shared" si="3"/>
        <v>0.17604241441912319</v>
      </c>
      <c r="K64" s="10">
        <f t="shared" si="4"/>
        <v>0.22407390829299756</v>
      </c>
      <c r="L64" s="10">
        <f t="shared" si="5"/>
        <v>0.25546536035297163</v>
      </c>
    </row>
    <row r="65" spans="1:12" ht="18" x14ac:dyDescent="0.2">
      <c r="A65" s="2" t="s">
        <v>69</v>
      </c>
      <c r="B65" s="6">
        <v>10477.58</v>
      </c>
      <c r="C65" s="6">
        <v>3389.95</v>
      </c>
      <c r="D65" s="6">
        <v>5820.55</v>
      </c>
      <c r="E65" s="6">
        <v>6795.82</v>
      </c>
      <c r="F65" s="6">
        <v>11853.4</v>
      </c>
      <c r="G65" s="6">
        <v>23383.54</v>
      </c>
      <c r="H65" s="10">
        <f t="shared" si="1"/>
        <v>0.11651821434628248</v>
      </c>
      <c r="I65" s="10">
        <f t="shared" si="2"/>
        <v>3.7698678580662739E-2</v>
      </c>
      <c r="J65" s="10">
        <f t="shared" si="3"/>
        <v>6.4728696179199255E-2</v>
      </c>
      <c r="K65" s="10">
        <f t="shared" si="4"/>
        <v>7.557439899468707E-2</v>
      </c>
      <c r="L65" s="10">
        <f t="shared" si="5"/>
        <v>0.13181832082715902</v>
      </c>
    </row>
    <row r="66" spans="1:12" ht="18" x14ac:dyDescent="0.2">
      <c r="A66" s="2" t="s">
        <v>70</v>
      </c>
      <c r="B66" s="6">
        <v>4848.75</v>
      </c>
      <c r="C66" s="4">
        <v>877.34</v>
      </c>
      <c r="D66" s="6">
        <v>2345.15</v>
      </c>
      <c r="E66" s="6">
        <v>2760.71</v>
      </c>
      <c r="F66" s="6">
        <v>5738.74</v>
      </c>
      <c r="G66" s="6">
        <v>11877.24</v>
      </c>
      <c r="H66" s="10">
        <f t="shared" si="1"/>
        <v>5.3921582255782079E-2</v>
      </c>
      <c r="I66" s="10">
        <f t="shared" si="2"/>
        <v>9.7566508845141221E-3</v>
      </c>
      <c r="J66" s="10">
        <f t="shared" si="3"/>
        <v>2.6079752230399041E-2</v>
      </c>
      <c r="K66" s="10">
        <f t="shared" si="4"/>
        <v>3.0701077875609207E-2</v>
      </c>
      <c r="L66" s="10">
        <f t="shared" si="5"/>
        <v>6.3818910225222347E-2</v>
      </c>
    </row>
    <row r="67" spans="1:12" ht="18" x14ac:dyDescent="0.2">
      <c r="A67" s="2" t="s">
        <v>71</v>
      </c>
      <c r="B67" s="6">
        <v>3050.56</v>
      </c>
      <c r="C67" s="6">
        <v>1085.9100000000001</v>
      </c>
      <c r="D67" s="6">
        <v>1765.41</v>
      </c>
      <c r="E67" s="6">
        <v>1994.85</v>
      </c>
      <c r="F67" s="6">
        <v>3388.78</v>
      </c>
      <c r="G67" s="6">
        <v>6707.18</v>
      </c>
      <c r="H67" s="10">
        <f t="shared" si="1"/>
        <v>3.3924418038916951E-2</v>
      </c>
      <c r="I67" s="10">
        <f t="shared" si="2"/>
        <v>1.2076099074478231E-2</v>
      </c>
      <c r="J67" s="10">
        <f t="shared" si="3"/>
        <v>1.9632627075056509E-2</v>
      </c>
      <c r="K67" s="10">
        <f t="shared" si="4"/>
        <v>2.2184164653353312E-2</v>
      </c>
      <c r="L67" s="10">
        <f t="shared" si="5"/>
        <v>3.7685667340396842E-2</v>
      </c>
    </row>
    <row r="68" spans="1:12" ht="18" x14ac:dyDescent="0.2">
      <c r="A68" s="2" t="s">
        <v>72</v>
      </c>
      <c r="B68" s="6">
        <v>2578.2800000000002</v>
      </c>
      <c r="C68" s="6">
        <v>1426.69</v>
      </c>
      <c r="D68" s="6">
        <v>1709.99</v>
      </c>
      <c r="E68" s="6">
        <v>2040.25</v>
      </c>
      <c r="F68" s="6">
        <v>2725.88</v>
      </c>
      <c r="G68" s="6">
        <v>4799.12</v>
      </c>
      <c r="H68" s="10">
        <f t="shared" si="1"/>
        <v>2.8672325258765213E-2</v>
      </c>
      <c r="I68" s="10">
        <f t="shared" si="2"/>
        <v>1.5865817414488628E-2</v>
      </c>
      <c r="J68" s="10">
        <f t="shared" si="3"/>
        <v>1.9016316873743708E-2</v>
      </c>
      <c r="K68" s="10">
        <f t="shared" si="4"/>
        <v>2.2689045258542796E-2</v>
      </c>
      <c r="L68" s="10">
        <f t="shared" si="5"/>
        <v>3.0313743261539832E-2</v>
      </c>
    </row>
    <row r="69" spans="1:12" ht="18" x14ac:dyDescent="0.2">
      <c r="A69" s="2" t="s">
        <v>73</v>
      </c>
      <c r="B69" s="6">
        <v>9395.7099999999991</v>
      </c>
      <c r="C69" s="6">
        <v>8469.7099999999991</v>
      </c>
      <c r="D69" s="6">
        <v>9340.9</v>
      </c>
      <c r="E69" s="6">
        <v>12324.48</v>
      </c>
      <c r="F69" s="6">
        <v>9458.9</v>
      </c>
      <c r="G69" s="6">
        <v>7069.97</v>
      </c>
      <c r="H69" s="10">
        <f t="shared" si="1"/>
        <v>0.1044870429732352</v>
      </c>
      <c r="I69" s="10">
        <f t="shared" si="2"/>
        <v>9.4189257942277907E-2</v>
      </c>
      <c r="J69" s="10">
        <f t="shared" si="3"/>
        <v>0.10387751641000975</v>
      </c>
      <c r="K69" s="10">
        <f t="shared" si="4"/>
        <v>0.13705706874549958</v>
      </c>
      <c r="L69" s="10">
        <f t="shared" si="5"/>
        <v>0.10518976115477537</v>
      </c>
    </row>
    <row r="70" spans="1:12" ht="18" x14ac:dyDescent="0.2">
      <c r="A70" s="2" t="s">
        <v>74</v>
      </c>
      <c r="B70" s="6">
        <v>1674.67</v>
      </c>
      <c r="C70" s="4">
        <v>855.51</v>
      </c>
      <c r="D70" s="4">
        <v>668.68</v>
      </c>
      <c r="E70" s="6">
        <v>1028.93</v>
      </c>
      <c r="F70" s="6">
        <v>1659.72</v>
      </c>
      <c r="G70" s="6">
        <v>4029.1</v>
      </c>
      <c r="H70" s="10">
        <f t="shared" si="1"/>
        <v>1.8623533107768101E-2</v>
      </c>
      <c r="I70" s="10">
        <f t="shared" si="2"/>
        <v>9.5138856067324834E-3</v>
      </c>
      <c r="J70" s="10">
        <f t="shared" si="3"/>
        <v>7.4362018299141755E-3</v>
      </c>
      <c r="K70" s="10">
        <f t="shared" si="4"/>
        <v>1.1442440552810901E-2</v>
      </c>
      <c r="L70" s="10">
        <f t="shared" si="5"/>
        <v>1.8457278371037202E-2</v>
      </c>
    </row>
    <row r="71" spans="1:12" ht="18" x14ac:dyDescent="0.2">
      <c r="A71" s="2" t="s">
        <v>75</v>
      </c>
      <c r="B71" s="6">
        <v>4913.9399999999996</v>
      </c>
      <c r="C71" s="6">
        <v>2767.66</v>
      </c>
      <c r="D71" s="6">
        <v>4071.38</v>
      </c>
      <c r="E71" s="6">
        <v>4858.59</v>
      </c>
      <c r="F71" s="6">
        <v>5813.77</v>
      </c>
      <c r="G71" s="6">
        <v>6635.69</v>
      </c>
      <c r="H71" s="10">
        <f t="shared" si="1"/>
        <v>5.4646541873674195E-2</v>
      </c>
      <c r="I71" s="10">
        <f t="shared" si="2"/>
        <v>3.0778366866932264E-2</v>
      </c>
      <c r="J71" s="10">
        <f t="shared" si="3"/>
        <v>4.5276669567320661E-2</v>
      </c>
      <c r="K71" s="10">
        <f t="shared" si="4"/>
        <v>5.403101012263372E-2</v>
      </c>
      <c r="L71" s="10">
        <f t="shared" si="5"/>
        <v>6.4653297709966112E-2</v>
      </c>
    </row>
    <row r="72" spans="1:12" ht="18" x14ac:dyDescent="0.2">
      <c r="A72" s="2" t="s">
        <v>76</v>
      </c>
      <c r="B72" s="4">
        <v>567.65</v>
      </c>
      <c r="C72" s="4">
        <v>340.15</v>
      </c>
      <c r="D72" s="4">
        <v>495.78</v>
      </c>
      <c r="E72" s="4">
        <v>558.75</v>
      </c>
      <c r="F72" s="4">
        <v>607.9</v>
      </c>
      <c r="G72" s="4">
        <v>797.4</v>
      </c>
      <c r="H72" s="10">
        <f t="shared" si="1"/>
        <v>6.3126756725949357E-3</v>
      </c>
      <c r="I72" s="10">
        <f t="shared" si="2"/>
        <v>3.7827122875595301E-3</v>
      </c>
      <c r="J72" s="10">
        <f t="shared" si="3"/>
        <v>5.5134296572872674E-3</v>
      </c>
      <c r="K72" s="10">
        <f t="shared" si="4"/>
        <v>6.2137012808287156E-3</v>
      </c>
      <c r="L72" s="10">
        <f t="shared" si="5"/>
        <v>6.7602845791781231E-3</v>
      </c>
    </row>
    <row r="73" spans="1:12" ht="18" x14ac:dyDescent="0.2">
      <c r="A73" s="2" t="s">
        <v>77</v>
      </c>
      <c r="B73" s="6">
        <v>1710.99</v>
      </c>
      <c r="C73" s="6">
        <v>1027.23</v>
      </c>
      <c r="D73" s="6">
        <v>1466.16</v>
      </c>
      <c r="E73" s="6">
        <v>1710.87</v>
      </c>
      <c r="F73" s="6">
        <v>1925.36</v>
      </c>
      <c r="G73" s="6">
        <v>2297.96</v>
      </c>
      <c r="H73" s="10">
        <f t="shared" si="1"/>
        <v>1.9027437591919685E-2</v>
      </c>
      <c r="I73" s="10">
        <f t="shared" si="2"/>
        <v>1.1423535331911734E-2</v>
      </c>
      <c r="J73" s="10">
        <f t="shared" si="3"/>
        <v>1.630475216089455E-2</v>
      </c>
      <c r="K73" s="10">
        <f t="shared" si="4"/>
        <v>1.9026103105738566E-2</v>
      </c>
      <c r="L73" s="10">
        <f t="shared" si="5"/>
        <v>2.1411385947304476E-2</v>
      </c>
    </row>
    <row r="74" spans="1:12" ht="18" x14ac:dyDescent="0.2">
      <c r="A74" s="2" t="s">
        <v>78</v>
      </c>
      <c r="B74" s="4">
        <v>73.510000000000005</v>
      </c>
      <c r="C74" s="4">
        <v>56.39</v>
      </c>
      <c r="D74" s="4">
        <v>60.73</v>
      </c>
      <c r="E74" s="4">
        <v>66.849999999999994</v>
      </c>
      <c r="F74" s="4">
        <v>81.44</v>
      </c>
      <c r="G74" s="4">
        <v>98.68</v>
      </c>
      <c r="H74" s="10">
        <f t="shared" si="1"/>
        <v>8.1748399311627556E-4</v>
      </c>
      <c r="I74" s="10">
        <f t="shared" si="2"/>
        <v>6.2709729794350121E-4</v>
      </c>
      <c r="J74" s="10">
        <f t="shared" si="3"/>
        <v>6.7536121482725351E-4</v>
      </c>
      <c r="K74" s="10">
        <f t="shared" si="4"/>
        <v>7.4342001006424984E-4</v>
      </c>
      <c r="L74" s="10">
        <f t="shared" si="5"/>
        <v>9.056712882517953E-4</v>
      </c>
    </row>
    <row r="75" spans="1:12" ht="18" x14ac:dyDescent="0.2">
      <c r="A75" s="2" t="s">
        <v>79</v>
      </c>
      <c r="B75" s="6">
        <v>1568.58</v>
      </c>
      <c r="C75" s="4">
        <v>835.91</v>
      </c>
      <c r="D75" s="6">
        <v>1277.8499999999999</v>
      </c>
      <c r="E75" s="6">
        <v>1649.92</v>
      </c>
      <c r="F75" s="6">
        <v>1919.78</v>
      </c>
      <c r="G75" s="6">
        <v>2004.62</v>
      </c>
      <c r="H75" s="10">
        <f t="shared" si="1"/>
        <v>1.7443736116478401E-2</v>
      </c>
      <c r="I75" s="10">
        <f t="shared" si="2"/>
        <v>9.2959195304832785E-3</v>
      </c>
      <c r="J75" s="10">
        <f t="shared" si="3"/>
        <v>1.4210609721175792E-2</v>
      </c>
      <c r="K75" s="10">
        <f t="shared" si="4"/>
        <v>1.8348295332912601E-2</v>
      </c>
      <c r="L75" s="10">
        <f t="shared" si="5"/>
        <v>2.134933233988251E-2</v>
      </c>
    </row>
    <row r="76" spans="1:12" ht="18" x14ac:dyDescent="0.2">
      <c r="A76" s="2" t="s">
        <v>80</v>
      </c>
      <c r="B76" s="4">
        <v>142.13999999999999</v>
      </c>
      <c r="C76" s="4">
        <v>147.12</v>
      </c>
      <c r="D76" s="4">
        <v>138.09</v>
      </c>
      <c r="E76" s="4">
        <v>124.03</v>
      </c>
      <c r="F76" s="4">
        <v>142.19</v>
      </c>
      <c r="G76" s="4">
        <v>160.79</v>
      </c>
      <c r="H76" s="10">
        <f t="shared" si="1"/>
        <v>1.5806988815337693E-3</v>
      </c>
      <c r="I76" s="10">
        <f t="shared" si="2"/>
        <v>1.6360800580501489E-3</v>
      </c>
      <c r="J76" s="10">
        <f t="shared" si="3"/>
        <v>1.5356599729210512E-3</v>
      </c>
      <c r="K76" s="10">
        <f t="shared" si="4"/>
        <v>1.3793026753667751E-3</v>
      </c>
      <c r="L76" s="10">
        <f t="shared" si="5"/>
        <v>1.5812549174425683E-3</v>
      </c>
    </row>
    <row r="77" spans="1:12" ht="18" x14ac:dyDescent="0.2">
      <c r="A77" s="2" t="s">
        <v>81</v>
      </c>
      <c r="B77" s="6">
        <v>1426.45</v>
      </c>
      <c r="C77" s="4">
        <v>688.79</v>
      </c>
      <c r="D77" s="6">
        <v>1139.76</v>
      </c>
      <c r="E77" s="6">
        <v>1525.89</v>
      </c>
      <c r="F77" s="6">
        <v>1777.59</v>
      </c>
      <c r="G77" s="6">
        <v>1843.82</v>
      </c>
      <c r="H77" s="10">
        <f t="shared" si="1"/>
        <v>1.5863148442126392E-2</v>
      </c>
      <c r="I77" s="10">
        <f t="shared" si="2"/>
        <v>7.659839472433129E-3</v>
      </c>
      <c r="J77" s="10">
        <f t="shared" si="3"/>
        <v>1.2674949748254742E-2</v>
      </c>
      <c r="K77" s="10">
        <f t="shared" si="4"/>
        <v>1.6968992657545826E-2</v>
      </c>
      <c r="L77" s="10">
        <f t="shared" si="5"/>
        <v>1.9768077422439939E-2</v>
      </c>
    </row>
    <row r="78" spans="1:12" ht="18" x14ac:dyDescent="0.2">
      <c r="A78" s="2" t="s">
        <v>82</v>
      </c>
      <c r="B78" s="4">
        <v>993.21</v>
      </c>
      <c r="C78" s="4">
        <v>507.98</v>
      </c>
      <c r="D78" s="4">
        <v>770.86</v>
      </c>
      <c r="E78" s="4">
        <v>872.2</v>
      </c>
      <c r="F78" s="6">
        <v>1279.3</v>
      </c>
      <c r="G78" s="6">
        <v>1437.04</v>
      </c>
      <c r="H78" s="10">
        <f t="shared" si="1"/>
        <v>1.1045208499564902E-2</v>
      </c>
      <c r="I78" s="10">
        <f t="shared" si="2"/>
        <v>5.6491024190342218E-3</v>
      </c>
      <c r="J78" s="10">
        <f t="shared" si="3"/>
        <v>8.5725168131357918E-3</v>
      </c>
      <c r="K78" s="10">
        <f t="shared" si="4"/>
        <v>9.6994903930895868E-3</v>
      </c>
      <c r="L78" s="10">
        <f t="shared" si="5"/>
        <v>1.4226734762530963E-2</v>
      </c>
    </row>
    <row r="79" spans="1:12" ht="18" x14ac:dyDescent="0.2">
      <c r="A79" s="2" t="s">
        <v>83</v>
      </c>
      <c r="B79" s="6">
        <v>2529.71</v>
      </c>
      <c r="C79" s="6">
        <v>1008.72</v>
      </c>
      <c r="D79" s="6">
        <v>1247.8599999999999</v>
      </c>
      <c r="E79" s="6">
        <v>1931.95</v>
      </c>
      <c r="F79" s="6">
        <v>3167.65</v>
      </c>
      <c r="G79" s="6">
        <v>4984.8100000000004</v>
      </c>
      <c r="H79" s="10">
        <f t="shared" si="1"/>
        <v>2.8132191976957873E-2</v>
      </c>
      <c r="I79" s="10">
        <f t="shared" si="2"/>
        <v>1.121769083847435E-2</v>
      </c>
      <c r="J79" s="10">
        <f t="shared" si="3"/>
        <v>1.3877099383078158E-2</v>
      </c>
      <c r="K79" s="10">
        <f t="shared" si="4"/>
        <v>2.1484671480084185E-2</v>
      </c>
      <c r="L79" s="10">
        <f t="shared" si="5"/>
        <v>3.5226542930142428E-2</v>
      </c>
    </row>
    <row r="80" spans="1:12" ht="18" x14ac:dyDescent="0.2">
      <c r="A80" s="2" t="s">
        <v>84</v>
      </c>
      <c r="B80" s="4">
        <v>787.65</v>
      </c>
      <c r="C80" s="4">
        <v>47.33</v>
      </c>
      <c r="D80" s="4">
        <v>122.84</v>
      </c>
      <c r="E80" s="4">
        <v>363.43</v>
      </c>
      <c r="F80" s="6">
        <v>1216.1500000000001</v>
      </c>
      <c r="G80" s="6">
        <v>2033.11</v>
      </c>
      <c r="H80" s="10">
        <f t="shared" si="1"/>
        <v>8.7592336713104933E-3</v>
      </c>
      <c r="I80" s="10">
        <f t="shared" si="2"/>
        <v>5.2634359126912413E-4</v>
      </c>
      <c r="J80" s="10">
        <f t="shared" si="3"/>
        <v>1.3660690207373592E-3</v>
      </c>
      <c r="K80" s="10">
        <f t="shared" si="4"/>
        <v>4.0416026066963408E-3</v>
      </c>
      <c r="L80" s="10">
        <f t="shared" si="5"/>
        <v>1.3524461409717841E-2</v>
      </c>
    </row>
    <row r="81" spans="1:12" ht="18" x14ac:dyDescent="0.2">
      <c r="A81" s="2" t="s">
        <v>85</v>
      </c>
      <c r="B81" s="6">
        <v>1742.05</v>
      </c>
      <c r="C81" s="4">
        <v>961.39</v>
      </c>
      <c r="D81" s="6">
        <v>1125.02</v>
      </c>
      <c r="E81" s="6">
        <v>1568.52</v>
      </c>
      <c r="F81" s="6">
        <v>1951.5</v>
      </c>
      <c r="G81" s="6">
        <v>2951.69</v>
      </c>
      <c r="H81" s="10">
        <f t="shared" si="1"/>
        <v>1.937284709846562E-2</v>
      </c>
      <c r="I81" s="10">
        <f t="shared" si="2"/>
        <v>1.0691347247205224E-2</v>
      </c>
      <c r="J81" s="10">
        <f t="shared" si="3"/>
        <v>1.2511030362340799E-2</v>
      </c>
      <c r="K81" s="10">
        <f t="shared" si="4"/>
        <v>1.7443068873387844E-2</v>
      </c>
      <c r="L81" s="10">
        <f t="shared" si="5"/>
        <v>2.170208152042459E-2</v>
      </c>
    </row>
    <row r="82" spans="1:12" ht="18" x14ac:dyDescent="0.2">
      <c r="A82" s="2" t="s">
        <v>86</v>
      </c>
      <c r="B82" s="4">
        <v>850.95</v>
      </c>
      <c r="C82" s="4">
        <v>598.73</v>
      </c>
      <c r="D82" s="4">
        <v>695.54</v>
      </c>
      <c r="E82" s="4">
        <v>752.93</v>
      </c>
      <c r="F82" s="4">
        <v>929.27</v>
      </c>
      <c r="G82" s="6">
        <v>1246.06</v>
      </c>
      <c r="H82" s="10">
        <f t="shared" si="1"/>
        <v>9.463175131850016E-3</v>
      </c>
      <c r="I82" s="10">
        <f t="shared" si="2"/>
        <v>6.6583075935043885E-3</v>
      </c>
      <c r="J82" s="10">
        <f t="shared" si="3"/>
        <v>7.734904320120993E-3</v>
      </c>
      <c r="K82" s="10">
        <f t="shared" si="4"/>
        <v>8.3731223362404732E-3</v>
      </c>
      <c r="L82" s="10">
        <f t="shared" si="5"/>
        <v>1.0334149779392753E-2</v>
      </c>
    </row>
    <row r="83" spans="1:12" ht="18" x14ac:dyDescent="0.2">
      <c r="A83" s="2" t="s">
        <v>87</v>
      </c>
      <c r="B83" s="4">
        <v>87.7</v>
      </c>
      <c r="C83" s="4">
        <v>85.46</v>
      </c>
      <c r="D83" s="4">
        <v>96.08</v>
      </c>
      <c r="E83" s="4">
        <v>99.81</v>
      </c>
      <c r="F83" s="4">
        <v>82.21</v>
      </c>
      <c r="G83" s="4">
        <v>75.040000000000006</v>
      </c>
      <c r="H83" s="10">
        <f t="shared" si="1"/>
        <v>9.7528698403342886E-4</v>
      </c>
      <c r="I83" s="10">
        <f t="shared" si="2"/>
        <v>9.5037657531923405E-4</v>
      </c>
      <c r="J83" s="10">
        <f t="shared" si="3"/>
        <v>1.0684786023481396E-3</v>
      </c>
      <c r="K83" s="10">
        <f t="shared" si="4"/>
        <v>1.1099588811445443E-3</v>
      </c>
      <c r="L83" s="10">
        <f t="shared" si="5"/>
        <v>9.1423424124729969E-4</v>
      </c>
    </row>
    <row r="84" spans="1:12" ht="18" x14ac:dyDescent="0.2">
      <c r="A84" s="2" t="s">
        <v>88</v>
      </c>
      <c r="B84" s="4">
        <v>101.46</v>
      </c>
      <c r="C84" s="4">
        <v>68.97</v>
      </c>
      <c r="D84" s="4">
        <v>104.5</v>
      </c>
      <c r="E84" s="4">
        <v>79.12</v>
      </c>
      <c r="F84" s="4">
        <v>125.39</v>
      </c>
      <c r="G84" s="4">
        <v>124.15</v>
      </c>
      <c r="H84" s="10">
        <f t="shared" si="1"/>
        <v>1.1283080661349109E-3</v>
      </c>
      <c r="I84" s="10">
        <f t="shared" si="2"/>
        <v>7.6699593259732708E-4</v>
      </c>
      <c r="J84" s="10">
        <f t="shared" si="3"/>
        <v>1.1621150493898896E-3</v>
      </c>
      <c r="K84" s="10">
        <f t="shared" si="4"/>
        <v>8.7987122208352221E-4</v>
      </c>
      <c r="L84" s="10">
        <f t="shared" si="5"/>
        <v>1.3944268520861077E-3</v>
      </c>
    </row>
    <row r="85" spans="1:12" ht="18" x14ac:dyDescent="0.2">
      <c r="A85" s="2" t="s">
        <v>89</v>
      </c>
      <c r="B85" s="4">
        <v>514.96</v>
      </c>
      <c r="C85" s="4">
        <v>330.08</v>
      </c>
      <c r="D85" s="4">
        <v>377.83</v>
      </c>
      <c r="E85" s="4">
        <v>437.18</v>
      </c>
      <c r="F85" s="4">
        <v>538.17999999999995</v>
      </c>
      <c r="G85" s="4">
        <v>868.46</v>
      </c>
      <c r="H85" s="10">
        <f t="shared" si="1"/>
        <v>5.7267250319025607E-3</v>
      </c>
      <c r="I85" s="10">
        <f t="shared" si="2"/>
        <v>3.6707266555274136E-3</v>
      </c>
      <c r="J85" s="10">
        <f t="shared" si="3"/>
        <v>4.2017409484304494E-3</v>
      </c>
      <c r="K85" s="10">
        <f t="shared" si="4"/>
        <v>4.8617555721748515E-3</v>
      </c>
      <c r="L85" s="10">
        <f t="shared" si="5"/>
        <v>5.9849481079488108E-3</v>
      </c>
    </row>
    <row r="86" spans="1:12" ht="18" x14ac:dyDescent="0.2">
      <c r="A86" s="2" t="s">
        <v>90</v>
      </c>
      <c r="B86" s="4">
        <v>146.83000000000001</v>
      </c>
      <c r="C86" s="4">
        <v>114.21</v>
      </c>
      <c r="D86" s="4">
        <v>117.12</v>
      </c>
      <c r="E86" s="4">
        <v>136.82</v>
      </c>
      <c r="F86" s="4">
        <v>183.49</v>
      </c>
      <c r="G86" s="4">
        <v>178.42</v>
      </c>
      <c r="H86" s="10">
        <f t="shared" si="1"/>
        <v>1.632855049779115E-3</v>
      </c>
      <c r="I86" s="10">
        <f t="shared" si="2"/>
        <v>1.2700972228786534E-3</v>
      </c>
      <c r="J86" s="10">
        <f t="shared" si="3"/>
        <v>1.3024585127707547E-3</v>
      </c>
      <c r="K86" s="10">
        <f t="shared" si="4"/>
        <v>1.5215366608375568E-3</v>
      </c>
      <c r="L86" s="10">
        <f t="shared" si="5"/>
        <v>2.0405405781105347E-3</v>
      </c>
    </row>
    <row r="87" spans="1:12" ht="18" x14ac:dyDescent="0.2">
      <c r="A87" s="2" t="s">
        <v>91</v>
      </c>
      <c r="B87" s="6">
        <v>3075.33</v>
      </c>
      <c r="C87" s="6">
        <v>1066.99</v>
      </c>
      <c r="D87" s="6">
        <v>1775.54</v>
      </c>
      <c r="E87" s="6">
        <v>2451.65</v>
      </c>
      <c r="F87" s="6">
        <v>3827.94</v>
      </c>
      <c r="G87" s="6">
        <v>5928.78</v>
      </c>
      <c r="H87" s="10">
        <f t="shared" si="1"/>
        <v>3.4199878228135971E-2</v>
      </c>
      <c r="I87" s="10">
        <f t="shared" si="2"/>
        <v>1.1865695086588692E-2</v>
      </c>
      <c r="J87" s="10">
        <f t="shared" si="3"/>
        <v>1.9745279950179183E-2</v>
      </c>
      <c r="K87" s="10">
        <f t="shared" si="4"/>
        <v>2.7264108716140888E-2</v>
      </c>
      <c r="L87" s="10">
        <f t="shared" si="5"/>
        <v>4.2569441934560137E-2</v>
      </c>
    </row>
    <row r="88" spans="1:12" ht="18" x14ac:dyDescent="0.2">
      <c r="A88" s="2" t="s">
        <v>92</v>
      </c>
      <c r="B88" s="4">
        <v>160.38</v>
      </c>
      <c r="C88" s="4">
        <v>77.78</v>
      </c>
      <c r="D88" s="4">
        <v>83.88</v>
      </c>
      <c r="E88" s="4">
        <v>79.069999999999993</v>
      </c>
      <c r="F88" s="4">
        <v>150.34</v>
      </c>
      <c r="G88" s="4">
        <v>399.46</v>
      </c>
      <c r="H88" s="10">
        <f t="shared" si="1"/>
        <v>1.783540781063641E-3</v>
      </c>
      <c r="I88" s="10">
        <f t="shared" si="2"/>
        <v>8.6496945972770918E-4</v>
      </c>
      <c r="J88" s="10">
        <f t="shared" si="3"/>
        <v>9.3280584060118597E-4</v>
      </c>
      <c r="K88" s="10">
        <f t="shared" si="4"/>
        <v>8.7931518617472308E-4</v>
      </c>
      <c r="L88" s="10">
        <f t="shared" si="5"/>
        <v>1.6718887705768038E-3</v>
      </c>
    </row>
    <row r="89" spans="1:12" ht="18" x14ac:dyDescent="0.2">
      <c r="A89" s="2" t="s">
        <v>93</v>
      </c>
      <c r="B89" s="4">
        <v>807.35</v>
      </c>
      <c r="C89" s="4">
        <v>169.18</v>
      </c>
      <c r="D89" s="4">
        <v>243.74</v>
      </c>
      <c r="E89" s="4">
        <v>498.36</v>
      </c>
      <c r="F89" s="4">
        <v>911.6</v>
      </c>
      <c r="G89" s="6">
        <v>2102.2399999999998</v>
      </c>
      <c r="H89" s="10">
        <f t="shared" si="1"/>
        <v>8.9783118193772962E-3</v>
      </c>
      <c r="I89" s="10">
        <f t="shared" si="2"/>
        <v>1.8814031010122635E-3</v>
      </c>
      <c r="J89" s="10">
        <f t="shared" si="3"/>
        <v>2.7105638482133178E-3</v>
      </c>
      <c r="K89" s="10">
        <f t="shared" si="4"/>
        <v>5.5421211101812961E-3</v>
      </c>
      <c r="L89" s="10">
        <f t="shared" si="5"/>
        <v>1.0137646689223191E-2</v>
      </c>
    </row>
    <row r="90" spans="1:12" ht="18" x14ac:dyDescent="0.2">
      <c r="A90" s="2" t="s">
        <v>94</v>
      </c>
      <c r="B90" s="4">
        <v>29.44</v>
      </c>
      <c r="C90" s="4">
        <v>15.94</v>
      </c>
      <c r="D90" s="4">
        <v>28.78</v>
      </c>
      <c r="E90" s="4">
        <v>19.239999999999998</v>
      </c>
      <c r="F90" s="4">
        <v>20.59</v>
      </c>
      <c r="G90" s="4">
        <v>62.28</v>
      </c>
      <c r="H90" s="10">
        <f t="shared" si="1"/>
        <v>3.2739394310084545E-4</v>
      </c>
      <c r="I90" s="10">
        <f t="shared" si="2"/>
        <v>1.7726424772511809E-4</v>
      </c>
      <c r="J90" s="10">
        <f t="shared" si="3"/>
        <v>3.2005426910469882E-4</v>
      </c>
      <c r="K90" s="10">
        <f t="shared" si="4"/>
        <v>2.1396261770585142E-4</v>
      </c>
      <c r="L90" s="10">
        <f t="shared" si="5"/>
        <v>2.2897558724342419E-4</v>
      </c>
    </row>
    <row r="91" spans="1:12" ht="18" x14ac:dyDescent="0.2">
      <c r="A91" s="2" t="s">
        <v>95</v>
      </c>
      <c r="B91" s="4">
        <v>471.38</v>
      </c>
      <c r="C91" s="4">
        <v>170.61</v>
      </c>
      <c r="D91" s="4">
        <v>331.95</v>
      </c>
      <c r="E91" s="4">
        <v>350.99</v>
      </c>
      <c r="F91" s="4">
        <v>522.14</v>
      </c>
      <c r="G91" s="4">
        <v>935.4</v>
      </c>
      <c r="H91" s="10">
        <f t="shared" si="1"/>
        <v>5.2420841337933602E-3</v>
      </c>
      <c r="I91" s="10">
        <f t="shared" si="2"/>
        <v>1.8973057280039147E-3</v>
      </c>
      <c r="J91" s="10">
        <f t="shared" si="3"/>
        <v>3.6915223985164959E-3</v>
      </c>
      <c r="K91" s="10">
        <f t="shared" si="4"/>
        <v>3.9032608725871518E-3</v>
      </c>
      <c r="L91" s="10">
        <f t="shared" si="5"/>
        <v>5.8065717884060947E-3</v>
      </c>
    </row>
    <row r="92" spans="1:12" ht="18" x14ac:dyDescent="0.2">
      <c r="A92" s="2" t="s">
        <v>96</v>
      </c>
      <c r="B92" s="4">
        <v>188.7</v>
      </c>
      <c r="C92" s="4">
        <v>95.35</v>
      </c>
      <c r="D92" s="4">
        <v>158.04</v>
      </c>
      <c r="E92" s="4">
        <v>170.28</v>
      </c>
      <c r="F92" s="4">
        <v>242.37</v>
      </c>
      <c r="G92" s="4">
        <v>262.18</v>
      </c>
      <c r="H92" s="10">
        <f t="shared" si="1"/>
        <v>2.0984795198073889E-3</v>
      </c>
      <c r="I92" s="10">
        <f t="shared" si="2"/>
        <v>1.0603604780796744E-3</v>
      </c>
      <c r="J92" s="10">
        <f t="shared" si="3"/>
        <v>1.7575183005318483E-3</v>
      </c>
      <c r="K92" s="10">
        <f t="shared" si="4"/>
        <v>1.8936358910058412E-3</v>
      </c>
      <c r="L92" s="10">
        <f t="shared" si="5"/>
        <v>2.6953284643122253E-3</v>
      </c>
    </row>
    <row r="93" spans="1:12" ht="18" x14ac:dyDescent="0.2">
      <c r="A93" s="2" t="s">
        <v>97</v>
      </c>
      <c r="B93" s="6">
        <v>1418.08</v>
      </c>
      <c r="C93" s="4">
        <v>538.12</v>
      </c>
      <c r="D93" s="4">
        <v>929.16</v>
      </c>
      <c r="E93" s="6">
        <v>1333.71</v>
      </c>
      <c r="F93" s="6">
        <v>1980.89</v>
      </c>
      <c r="G93" s="6">
        <v>2167.2199999999998</v>
      </c>
      <c r="H93" s="10">
        <f t="shared" si="1"/>
        <v>1.5770068030993442E-2</v>
      </c>
      <c r="I93" s="10">
        <f t="shared" si="2"/>
        <v>5.9842808648582525E-3</v>
      </c>
      <c r="J93" s="10">
        <f t="shared" si="3"/>
        <v>1.0332926500393394E-2</v>
      </c>
      <c r="K93" s="10">
        <f t="shared" si="4"/>
        <v>1.4831813038486026E-2</v>
      </c>
      <c r="L93" s="10">
        <f t="shared" si="5"/>
        <v>2.2028919427616638E-2</v>
      </c>
    </row>
    <row r="94" spans="1:12" ht="18" x14ac:dyDescent="0.2">
      <c r="A94" s="2" t="s">
        <v>98</v>
      </c>
      <c r="B94" s="6">
        <v>2481.5700000000002</v>
      </c>
      <c r="C94" s="6">
        <v>1131.04</v>
      </c>
      <c r="D94" s="6">
        <v>1531.76</v>
      </c>
      <c r="E94" s="6">
        <v>2402.91</v>
      </c>
      <c r="F94" s="6">
        <v>2906.65</v>
      </c>
      <c r="G94" s="6">
        <v>4283.4399999999996</v>
      </c>
      <c r="H94" s="10">
        <f t="shared" si="1"/>
        <v>2.7596840603966204E-2</v>
      </c>
      <c r="I94" s="10">
        <f t="shared" si="2"/>
        <v>1.2577977085760198E-2</v>
      </c>
      <c r="J94" s="10">
        <f t="shared" si="3"/>
        <v>1.7034271273238824E-2</v>
      </c>
      <c r="K94" s="10">
        <f t="shared" si="4"/>
        <v>2.6722084912243631E-2</v>
      </c>
      <c r="L94" s="10">
        <f t="shared" si="5"/>
        <v>3.2324035486211704E-2</v>
      </c>
    </row>
    <row r="95" spans="1:12" ht="18" x14ac:dyDescent="0.2">
      <c r="A95" s="2" t="s">
        <v>99</v>
      </c>
      <c r="B95" s="4">
        <v>528.36</v>
      </c>
      <c r="C95" s="4">
        <v>202.3</v>
      </c>
      <c r="D95" s="4">
        <v>280.92</v>
      </c>
      <c r="E95" s="4">
        <v>533.76</v>
      </c>
      <c r="F95" s="4">
        <v>721.47</v>
      </c>
      <c r="G95" s="4">
        <v>865.69</v>
      </c>
      <c r="H95" s="10">
        <f t="shared" si="1"/>
        <v>5.8757426554606898E-3</v>
      </c>
      <c r="I95" s="10">
        <f t="shared" si="2"/>
        <v>2.2497212870007145E-3</v>
      </c>
      <c r="J95" s="10">
        <f t="shared" si="3"/>
        <v>3.1240321499962469E-3</v>
      </c>
      <c r="K95" s="10">
        <f t="shared" si="4"/>
        <v>5.9357945336109804E-3</v>
      </c>
      <c r="L95" s="10">
        <f t="shared" si="5"/>
        <v>8.0232645424241494E-3</v>
      </c>
    </row>
    <row r="96" spans="1:12" ht="18" x14ac:dyDescent="0.2">
      <c r="A96" s="2" t="s">
        <v>100</v>
      </c>
      <c r="B96" s="4">
        <v>406.16</v>
      </c>
      <c r="C96" s="4">
        <v>175.34</v>
      </c>
      <c r="D96" s="4">
        <v>256.92</v>
      </c>
      <c r="E96" s="4">
        <v>433.75</v>
      </c>
      <c r="F96" s="4">
        <v>529.53</v>
      </c>
      <c r="G96" s="4">
        <v>608.72</v>
      </c>
      <c r="H96" s="10">
        <f t="shared" si="1"/>
        <v>4.5167908943559579E-3</v>
      </c>
      <c r="I96" s="10">
        <f t="shared" si="2"/>
        <v>1.949906724976299E-3</v>
      </c>
      <c r="J96" s="10">
        <f t="shared" si="3"/>
        <v>2.8571349137727314E-3</v>
      </c>
      <c r="K96" s="10">
        <f t="shared" si="4"/>
        <v>4.8236115088312404E-3</v>
      </c>
      <c r="L96" s="10">
        <f t="shared" si="5"/>
        <v>5.8887538957265858E-3</v>
      </c>
    </row>
    <row r="97" spans="1:12" ht="18" x14ac:dyDescent="0.2">
      <c r="A97" s="2" t="s">
        <v>101</v>
      </c>
      <c r="B97" s="4">
        <v>122.2</v>
      </c>
      <c r="C97" s="4">
        <v>26.96</v>
      </c>
      <c r="D97" s="4">
        <v>23.99</v>
      </c>
      <c r="E97" s="4">
        <v>100.01</v>
      </c>
      <c r="F97" s="4">
        <v>191.94</v>
      </c>
      <c r="G97" s="4">
        <v>256.98</v>
      </c>
      <c r="H97" s="10">
        <f t="shared" si="1"/>
        <v>1.3589517611047321E-3</v>
      </c>
      <c r="I97" s="10">
        <f t="shared" si="2"/>
        <v>2.9981456202441553E-4</v>
      </c>
      <c r="J97" s="10">
        <f t="shared" si="3"/>
        <v>2.6678602904175552E-4</v>
      </c>
      <c r="K97" s="10">
        <f t="shared" si="4"/>
        <v>1.1121830247797404E-3</v>
      </c>
      <c r="L97" s="10">
        <f t="shared" si="5"/>
        <v>2.1345106466975636E-3</v>
      </c>
    </row>
    <row r="98" spans="1:12" ht="18" x14ac:dyDescent="0.2">
      <c r="A98" s="2" t="s">
        <v>102</v>
      </c>
      <c r="B98" s="4">
        <v>888.69</v>
      </c>
      <c r="C98" s="4">
        <v>434.23</v>
      </c>
      <c r="D98" s="4">
        <v>483.18</v>
      </c>
      <c r="E98" s="4">
        <v>847.37</v>
      </c>
      <c r="F98" s="6">
        <v>1053.22</v>
      </c>
      <c r="G98" s="6">
        <v>1575.37</v>
      </c>
      <c r="H98" s="10">
        <f t="shared" si="1"/>
        <v>9.8828710358114941E-3</v>
      </c>
      <c r="I98" s="10">
        <f t="shared" si="2"/>
        <v>4.8289494535557111E-3</v>
      </c>
      <c r="J98" s="10">
        <f t="shared" si="3"/>
        <v>5.3733086082699225E-3</v>
      </c>
      <c r="K98" s="10">
        <f t="shared" si="4"/>
        <v>9.423362960780007E-3</v>
      </c>
      <c r="L98" s="10">
        <f t="shared" si="5"/>
        <v>1.171256279730545E-2</v>
      </c>
    </row>
    <row r="99" spans="1:12" ht="18" x14ac:dyDescent="0.2">
      <c r="A99" s="2" t="s">
        <v>103</v>
      </c>
      <c r="B99" s="4">
        <v>769.58</v>
      </c>
      <c r="C99" s="4">
        <v>393.33</v>
      </c>
      <c r="D99" s="4">
        <v>444.48</v>
      </c>
      <c r="E99" s="4">
        <v>719.78</v>
      </c>
      <c r="F99" s="4">
        <v>860.13</v>
      </c>
      <c r="G99" s="6">
        <v>1388.25</v>
      </c>
      <c r="H99" s="10">
        <f t="shared" ref="H99:H150" si="6">B99/$B$33</f>
        <v>8.5582822938705394E-3</v>
      </c>
      <c r="I99" s="10">
        <f t="shared" ref="I99:I150" si="7">C99/$B$33</f>
        <v>4.3741120801581365E-3</v>
      </c>
      <c r="J99" s="10">
        <f t="shared" ref="J99:J150" si="8">D99/$B$33</f>
        <v>4.9429368148595039E-3</v>
      </c>
      <c r="K99" s="10">
        <f t="shared" ref="K99:K150" si="9">E99/$B$33</f>
        <v>8.004470528706743E-3</v>
      </c>
      <c r="L99" s="10">
        <f t="shared" ref="L99:L150" si="10">F99/$B$33</f>
        <v>9.5652633247055099E-3</v>
      </c>
    </row>
    <row r="100" spans="1:12" ht="18" x14ac:dyDescent="0.2">
      <c r="A100" s="2" t="s">
        <v>104</v>
      </c>
      <c r="B100" s="4">
        <v>119.12</v>
      </c>
      <c r="C100" s="4">
        <v>40.909999999999997</v>
      </c>
      <c r="D100" s="4">
        <v>38.700000000000003</v>
      </c>
      <c r="E100" s="4">
        <v>127.59</v>
      </c>
      <c r="F100" s="4">
        <v>193.09</v>
      </c>
      <c r="G100" s="4">
        <v>187.12</v>
      </c>
      <c r="H100" s="10">
        <f t="shared" si="6"/>
        <v>1.3246999491227144E-3</v>
      </c>
      <c r="I100" s="10">
        <f t="shared" si="7"/>
        <v>4.5494858057933379E-4</v>
      </c>
      <c r="J100" s="10">
        <f t="shared" si="8"/>
        <v>4.3037179341041845E-4</v>
      </c>
      <c r="K100" s="10">
        <f t="shared" si="9"/>
        <v>1.4188924320732634E-3</v>
      </c>
      <c r="L100" s="10">
        <f t="shared" si="10"/>
        <v>2.1472994725999406E-3</v>
      </c>
    </row>
    <row r="101" spans="1:12" ht="18" x14ac:dyDescent="0.2">
      <c r="A101" s="2" t="s">
        <v>105</v>
      </c>
      <c r="B101" s="4">
        <v>98.37</v>
      </c>
      <c r="C101" s="4">
        <v>27.86</v>
      </c>
      <c r="D101" s="4">
        <v>127.36</v>
      </c>
      <c r="E101" s="4">
        <v>95.9</v>
      </c>
      <c r="F101" s="4">
        <v>162.30000000000001</v>
      </c>
      <c r="G101" s="4">
        <v>68.61</v>
      </c>
      <c r="H101" s="10">
        <f t="shared" si="6"/>
        <v>1.0939450469711334E-3</v>
      </c>
      <c r="I101" s="10">
        <f t="shared" si="7"/>
        <v>3.0982320838279738E-4</v>
      </c>
      <c r="J101" s="10">
        <f t="shared" si="8"/>
        <v>1.416334666892788E-3</v>
      </c>
      <c r="K101" s="10">
        <f t="shared" si="9"/>
        <v>1.0664768730764634E-3</v>
      </c>
      <c r="L101" s="10">
        <f t="shared" si="10"/>
        <v>1.8048925599615225E-3</v>
      </c>
    </row>
    <row r="102" spans="1:12" ht="18" x14ac:dyDescent="0.2">
      <c r="A102" s="2" t="s">
        <v>106</v>
      </c>
      <c r="B102" s="4">
        <v>551.05999999999995</v>
      </c>
      <c r="C102" s="4">
        <v>256.14999999999998</v>
      </c>
      <c r="D102" s="4">
        <v>402.48</v>
      </c>
      <c r="E102" s="4">
        <v>656.49</v>
      </c>
      <c r="F102" s="4">
        <v>590.26</v>
      </c>
      <c r="G102" s="4">
        <v>821.15</v>
      </c>
      <c r="H102" s="10">
        <f t="shared" si="6"/>
        <v>6.1281829580554304E-3</v>
      </c>
      <c r="I102" s="10">
        <f t="shared" si="7"/>
        <v>2.8485719607772267E-3</v>
      </c>
      <c r="J102" s="10">
        <f t="shared" si="8"/>
        <v>4.4758666514683517E-3</v>
      </c>
      <c r="K102" s="10">
        <f t="shared" si="9"/>
        <v>7.3006402753489821E-3</v>
      </c>
      <c r="L102" s="10">
        <f t="shared" si="10"/>
        <v>6.5641151105538392E-3</v>
      </c>
    </row>
    <row r="103" spans="1:12" ht="18" x14ac:dyDescent="0.2">
      <c r="A103" s="2" t="s">
        <v>107</v>
      </c>
      <c r="B103" s="4">
        <v>415.09</v>
      </c>
      <c r="C103" s="4">
        <v>210.5</v>
      </c>
      <c r="D103" s="4">
        <v>237.82</v>
      </c>
      <c r="E103" s="4">
        <v>269.39</v>
      </c>
      <c r="F103" s="4">
        <v>379.4</v>
      </c>
      <c r="G103" s="4">
        <v>952.62</v>
      </c>
      <c r="H103" s="10">
        <f t="shared" si="6"/>
        <v>4.6160989076674567E-3</v>
      </c>
      <c r="I103" s="10">
        <f t="shared" si="7"/>
        <v>2.3409111760437488E-3</v>
      </c>
      <c r="J103" s="10">
        <f t="shared" si="8"/>
        <v>2.6447291966115172E-3</v>
      </c>
      <c r="K103" s="10">
        <f t="shared" si="9"/>
        <v>2.9958102694271995E-3</v>
      </c>
      <c r="L103" s="10">
        <f t="shared" si="10"/>
        <v>4.2192004759667376E-3</v>
      </c>
    </row>
    <row r="104" spans="1:12" ht="18" x14ac:dyDescent="0.2">
      <c r="A104" s="2" t="s">
        <v>108</v>
      </c>
      <c r="B104" s="6">
        <v>14431.07</v>
      </c>
      <c r="C104" s="6">
        <v>5841.49</v>
      </c>
      <c r="D104" s="6">
        <v>9359.02</v>
      </c>
      <c r="E104" s="6">
        <v>13991.53</v>
      </c>
      <c r="F104" s="6">
        <v>16620.2</v>
      </c>
      <c r="G104" s="6">
        <v>24703.56</v>
      </c>
      <c r="H104" s="10">
        <f t="shared" si="6"/>
        <v>0.16048386244783688</v>
      </c>
      <c r="I104" s="10">
        <f t="shared" si="7"/>
        <v>6.4961564017804271E-2</v>
      </c>
      <c r="J104" s="10">
        <f t="shared" si="8"/>
        <v>0.10407902382335851</v>
      </c>
      <c r="K104" s="10">
        <f t="shared" si="9"/>
        <v>0.15559586198076672</v>
      </c>
      <c r="L104" s="10">
        <f t="shared" si="10"/>
        <v>0.18482856022841956</v>
      </c>
    </row>
    <row r="105" spans="1:12" ht="18" x14ac:dyDescent="0.2">
      <c r="A105" s="2" t="s">
        <v>109</v>
      </c>
      <c r="B105" s="6">
        <v>4982.8100000000004</v>
      </c>
      <c r="C105" s="6">
        <v>1523.27</v>
      </c>
      <c r="D105" s="6">
        <v>2631.33</v>
      </c>
      <c r="E105" s="6">
        <v>4758.26</v>
      </c>
      <c r="F105" s="6">
        <v>5214.4399999999996</v>
      </c>
      <c r="G105" s="6">
        <v>10167.790000000001</v>
      </c>
      <c r="H105" s="10">
        <f t="shared" si="6"/>
        <v>5.5412425734453936E-2</v>
      </c>
      <c r="I105" s="10">
        <f t="shared" si="7"/>
        <v>1.6939856375924756E-2</v>
      </c>
      <c r="J105" s="10">
        <f t="shared" si="8"/>
        <v>2.926227935800094E-2</v>
      </c>
      <c r="K105" s="10">
        <f t="shared" si="9"/>
        <v>5.2915268468037666E-2</v>
      </c>
      <c r="L105" s="10">
        <f t="shared" si="10"/>
        <v>5.798831768555613E-2</v>
      </c>
    </row>
    <row r="106" spans="1:12" ht="18" x14ac:dyDescent="0.2">
      <c r="A106" s="2" t="s">
        <v>110</v>
      </c>
      <c r="B106" s="6">
        <v>3248.71</v>
      </c>
      <c r="C106" s="6">
        <v>1097.92</v>
      </c>
      <c r="D106" s="6">
        <v>1422.04</v>
      </c>
      <c r="E106" s="6">
        <v>2357.06</v>
      </c>
      <c r="F106" s="6">
        <v>2848.18</v>
      </c>
      <c r="G106" s="6">
        <v>8209.0400000000009</v>
      </c>
      <c r="H106" s="10">
        <f t="shared" si="6"/>
        <v>3.6127988345487354E-2</v>
      </c>
      <c r="I106" s="10">
        <f t="shared" si="7"/>
        <v>1.2209658899771748E-2</v>
      </c>
      <c r="J106" s="10">
        <f t="shared" si="8"/>
        <v>1.581410607497032E-2</v>
      </c>
      <c r="K106" s="10">
        <f t="shared" si="9"/>
        <v>2.6212199983874959E-2</v>
      </c>
      <c r="L106" s="10">
        <f t="shared" si="10"/>
        <v>3.1673807094462159E-2</v>
      </c>
    </row>
    <row r="107" spans="1:12" ht="18" x14ac:dyDescent="0.2">
      <c r="A107" s="2" t="s">
        <v>111</v>
      </c>
      <c r="B107" s="6">
        <v>1698.4</v>
      </c>
      <c r="C107" s="4">
        <v>425.36</v>
      </c>
      <c r="D107" s="6">
        <v>1209.29</v>
      </c>
      <c r="E107" s="6">
        <v>2341.5300000000002</v>
      </c>
      <c r="F107" s="6">
        <v>2366.2600000000002</v>
      </c>
      <c r="G107" s="6">
        <v>1845.04</v>
      </c>
      <c r="H107" s="10">
        <f t="shared" si="6"/>
        <v>1.8887427750084101E-2</v>
      </c>
      <c r="I107" s="10">
        <f t="shared" si="7"/>
        <v>4.7303086833347698E-3</v>
      </c>
      <c r="J107" s="10">
        <f t="shared" si="8"/>
        <v>1.3448173283030617E-2</v>
      </c>
      <c r="K107" s="10">
        <f t="shared" si="9"/>
        <v>2.6039495230601995E-2</v>
      </c>
      <c r="L107" s="10">
        <f t="shared" si="10"/>
        <v>2.6314510591093975E-2</v>
      </c>
    </row>
    <row r="108" spans="1:12" ht="18" x14ac:dyDescent="0.2">
      <c r="A108" s="2" t="s">
        <v>112</v>
      </c>
      <c r="B108" s="4">
        <v>35.700000000000003</v>
      </c>
      <c r="C108" s="4">
        <v>0</v>
      </c>
      <c r="D108" s="4">
        <v>0</v>
      </c>
      <c r="E108" s="4">
        <v>59.67</v>
      </c>
      <c r="F108" s="4">
        <v>0</v>
      </c>
      <c r="G108" s="4">
        <v>113.71</v>
      </c>
      <c r="H108" s="10">
        <f t="shared" si="6"/>
        <v>3.9700963888247907E-4</v>
      </c>
      <c r="I108" s="10">
        <f t="shared" si="7"/>
        <v>0</v>
      </c>
      <c r="J108" s="10">
        <f t="shared" si="8"/>
        <v>0</v>
      </c>
      <c r="K108" s="10">
        <f t="shared" si="9"/>
        <v>6.6357325356071494E-4</v>
      </c>
      <c r="L108" s="10">
        <f t="shared" si="10"/>
        <v>0</v>
      </c>
    </row>
    <row r="109" spans="1:12" ht="18" x14ac:dyDescent="0.2">
      <c r="A109" s="2" t="s">
        <v>113</v>
      </c>
      <c r="B109" s="4">
        <v>6.02</v>
      </c>
      <c r="C109" s="4">
        <v>4.1900000000000004</v>
      </c>
      <c r="D109" s="4">
        <v>4.9800000000000004</v>
      </c>
      <c r="E109" s="4">
        <v>8.9499999999999993</v>
      </c>
      <c r="F109" s="4">
        <v>9.0500000000000007</v>
      </c>
      <c r="G109" s="4">
        <v>2.15</v>
      </c>
      <c r="H109" s="10">
        <f t="shared" si="6"/>
        <v>6.694672341939842E-5</v>
      </c>
      <c r="I109" s="10">
        <f t="shared" si="7"/>
        <v>4.6595809157355387E-5</v>
      </c>
      <c r="J109" s="10">
        <f t="shared" si="8"/>
        <v>5.5381176516379432E-5</v>
      </c>
      <c r="K109" s="10">
        <f t="shared" si="9"/>
        <v>9.953042767501925E-5</v>
      </c>
      <c r="L109" s="10">
        <f t="shared" si="10"/>
        <v>1.0064249949261725E-4</v>
      </c>
    </row>
    <row r="110" spans="1:12" ht="18" x14ac:dyDescent="0.2">
      <c r="A110" s="2" t="s">
        <v>114</v>
      </c>
      <c r="B110" s="6">
        <v>3695.56</v>
      </c>
      <c r="C110" s="6">
        <v>1825.13</v>
      </c>
      <c r="D110" s="6">
        <v>2882.37</v>
      </c>
      <c r="E110" s="6">
        <v>3885.41</v>
      </c>
      <c r="F110" s="6">
        <v>4566.29</v>
      </c>
      <c r="G110" s="6">
        <v>4922.4399999999996</v>
      </c>
      <c r="H110" s="10">
        <f t="shared" si="6"/>
        <v>4.1097281262423929E-2</v>
      </c>
      <c r="I110" s="10">
        <f t="shared" si="7"/>
        <v>2.0296756364526023E-2</v>
      </c>
      <c r="J110" s="10">
        <f t="shared" si="8"/>
        <v>3.2054024448898912E-2</v>
      </c>
      <c r="K110" s="10">
        <f t="shared" si="9"/>
        <v>4.3208549608133695E-2</v>
      </c>
      <c r="L110" s="10">
        <f t="shared" si="10"/>
        <v>5.0780424199794824E-2</v>
      </c>
    </row>
    <row r="111" spans="1:12" ht="18" x14ac:dyDescent="0.2">
      <c r="A111" s="2" t="s">
        <v>115</v>
      </c>
      <c r="B111" s="6">
        <v>4466.3</v>
      </c>
      <c r="C111" s="6">
        <v>2076.56</v>
      </c>
      <c r="D111" s="6">
        <v>3215.67</v>
      </c>
      <c r="E111" s="6">
        <v>4324.38</v>
      </c>
      <c r="F111" s="6">
        <v>5403.09</v>
      </c>
      <c r="G111" s="6">
        <v>6843.07</v>
      </c>
      <c r="H111" s="10">
        <f t="shared" si="6"/>
        <v>4.9668463589378604E-2</v>
      </c>
      <c r="I111" s="10">
        <f t="shared" si="7"/>
        <v>2.3092838535512621E-2</v>
      </c>
      <c r="J111" s="10">
        <f t="shared" si="8"/>
        <v>3.5760559816952982E-2</v>
      </c>
      <c r="K111" s="10">
        <f t="shared" si="9"/>
        <v>4.8090211265843549E-2</v>
      </c>
      <c r="L111" s="10">
        <f t="shared" si="10"/>
        <v>6.0086241169454727E-2</v>
      </c>
    </row>
    <row r="112" spans="1:12" ht="18" x14ac:dyDescent="0.2">
      <c r="A112" s="2" t="s">
        <v>116</v>
      </c>
      <c r="B112" s="4">
        <v>313.11</v>
      </c>
      <c r="C112" s="4">
        <v>77.02</v>
      </c>
      <c r="D112" s="4">
        <v>195.25</v>
      </c>
      <c r="E112" s="4">
        <v>260.89</v>
      </c>
      <c r="F112" s="4">
        <v>457.67</v>
      </c>
      <c r="G112" s="4">
        <v>525.17999999999995</v>
      </c>
      <c r="H112" s="10">
        <f t="shared" si="6"/>
        <v>3.4820080680810369E-3</v>
      </c>
      <c r="I112" s="10">
        <f t="shared" si="7"/>
        <v>8.5651771391396451E-4</v>
      </c>
      <c r="J112" s="10">
        <f t="shared" si="8"/>
        <v>2.1713202238600568E-3</v>
      </c>
      <c r="K112" s="10">
        <f t="shared" si="9"/>
        <v>2.9012841649313711E-3</v>
      </c>
      <c r="L112" s="10">
        <f t="shared" si="10"/>
        <v>5.0896190876006777E-3</v>
      </c>
    </row>
    <row r="113" spans="1:12" ht="18" x14ac:dyDescent="0.2">
      <c r="A113" s="2" t="s">
        <v>117</v>
      </c>
      <c r="B113" s="6">
        <v>1244.6199999999999</v>
      </c>
      <c r="C113" s="4">
        <v>669.79</v>
      </c>
      <c r="D113" s="4">
        <v>988.88</v>
      </c>
      <c r="E113" s="6">
        <v>1128.5899999999999</v>
      </c>
      <c r="F113" s="6">
        <v>1549.82</v>
      </c>
      <c r="G113" s="6">
        <v>1781.33</v>
      </c>
      <c r="H113" s="10">
        <f t="shared" si="6"/>
        <v>1.3841068256187984E-2</v>
      </c>
      <c r="I113" s="10">
        <f t="shared" si="7"/>
        <v>7.4485458270895132E-3</v>
      </c>
      <c r="J113" s="10">
        <f t="shared" si="8"/>
        <v>1.099705578986291E-2</v>
      </c>
      <c r="K113" s="10">
        <f t="shared" si="9"/>
        <v>1.2550731326229046E-2</v>
      </c>
      <c r="L113" s="10">
        <f t="shared" si="10"/>
        <v>1.7235111443497021E-2</v>
      </c>
    </row>
    <row r="114" spans="1:12" ht="18" x14ac:dyDescent="0.2">
      <c r="A114" s="2" t="s">
        <v>118</v>
      </c>
      <c r="B114" s="6">
        <v>1039.8599999999999</v>
      </c>
      <c r="C114" s="4">
        <v>385.64</v>
      </c>
      <c r="D114" s="4">
        <v>664.13</v>
      </c>
      <c r="E114" s="4">
        <v>986.75</v>
      </c>
      <c r="F114" s="6">
        <v>1170.56</v>
      </c>
      <c r="G114" s="6">
        <v>1871.88</v>
      </c>
      <c r="H114" s="10">
        <f t="shared" si="6"/>
        <v>1.1563990002474359E-2</v>
      </c>
      <c r="I114" s="10">
        <f t="shared" si="7"/>
        <v>4.2885937573848521E-3</v>
      </c>
      <c r="J114" s="10">
        <f t="shared" si="8"/>
        <v>7.3856025622134674E-3</v>
      </c>
      <c r="K114" s="10">
        <f t="shared" si="9"/>
        <v>1.0973368660148072E-2</v>
      </c>
      <c r="L114" s="10">
        <f t="shared" si="10"/>
        <v>1.3017467868074919E-2</v>
      </c>
    </row>
    <row r="115" spans="1:12" ht="18" x14ac:dyDescent="0.2">
      <c r="A115" s="2" t="s">
        <v>119</v>
      </c>
      <c r="B115" s="6">
        <v>1868.7</v>
      </c>
      <c r="C115" s="4">
        <v>944.11</v>
      </c>
      <c r="D115" s="6">
        <v>1367.41</v>
      </c>
      <c r="E115" s="6">
        <v>1948.15</v>
      </c>
      <c r="F115" s="6">
        <v>2225.0300000000002</v>
      </c>
      <c r="G115" s="6">
        <v>2664.67</v>
      </c>
      <c r="H115" s="10">
        <f t="shared" si="6"/>
        <v>2.0781286055453461E-2</v>
      </c>
      <c r="I115" s="10">
        <f t="shared" si="7"/>
        <v>1.0499181237124294E-2</v>
      </c>
      <c r="J115" s="10">
        <f t="shared" si="8"/>
        <v>1.5206581241016546E-2</v>
      </c>
      <c r="K115" s="10">
        <f t="shared" si="9"/>
        <v>2.1664827114535056E-2</v>
      </c>
      <c r="L115" s="10">
        <f t="shared" si="10"/>
        <v>2.4743931563100348E-2</v>
      </c>
    </row>
    <row r="116" spans="1:12" ht="18" x14ac:dyDescent="0.2">
      <c r="A116" s="2" t="s">
        <v>120</v>
      </c>
      <c r="B116" s="6">
        <v>1280.3800000000001</v>
      </c>
      <c r="C116" s="4">
        <v>412.34</v>
      </c>
      <c r="D116" s="4">
        <v>624.66</v>
      </c>
      <c r="E116" s="6">
        <v>1014.53</v>
      </c>
      <c r="F116" s="6">
        <v>1427.33</v>
      </c>
      <c r="G116" s="6">
        <v>2768.11</v>
      </c>
      <c r="H116" s="10">
        <f t="shared" si="6"/>
        <v>1.4238745138161023E-2</v>
      </c>
      <c r="I116" s="10">
        <f t="shared" si="7"/>
        <v>4.5855169326835124E-3</v>
      </c>
      <c r="J116" s="10">
        <f t="shared" si="8"/>
        <v>6.9466678158075449E-3</v>
      </c>
      <c r="K116" s="10">
        <f t="shared" si="9"/>
        <v>1.1282302211076791E-2</v>
      </c>
      <c r="L116" s="10">
        <f t="shared" si="10"/>
        <v>1.5872934674121254E-2</v>
      </c>
    </row>
    <row r="117" spans="1:12" ht="18" x14ac:dyDescent="0.2">
      <c r="A117" s="2" t="s">
        <v>121</v>
      </c>
      <c r="B117" s="6">
        <v>6065.15</v>
      </c>
      <c r="C117" s="6">
        <v>3660.38</v>
      </c>
      <c r="D117" s="6">
        <v>4366.76</v>
      </c>
      <c r="E117" s="6">
        <v>5954.23</v>
      </c>
      <c r="F117" s="6">
        <v>7185.97</v>
      </c>
      <c r="G117" s="6">
        <v>8637.59</v>
      </c>
      <c r="H117" s="10">
        <f t="shared" si="6"/>
        <v>6.7448823845043915E-2</v>
      </c>
      <c r="I117" s="10">
        <f t="shared" si="7"/>
        <v>4.0706054396992958E-2</v>
      </c>
      <c r="J117" s="10">
        <f t="shared" si="8"/>
        <v>4.8561507302141572E-2</v>
      </c>
      <c r="K117" s="10">
        <f t="shared" si="9"/>
        <v>6.621531378496423E-2</v>
      </c>
      <c r="L117" s="10">
        <f t="shared" si="10"/>
        <v>7.99131471910456E-2</v>
      </c>
    </row>
    <row r="118" spans="1:12" ht="18" x14ac:dyDescent="0.2">
      <c r="A118" s="2" t="s">
        <v>122</v>
      </c>
      <c r="B118" s="6">
        <v>4093.18</v>
      </c>
      <c r="C118" s="6">
        <v>2516.85</v>
      </c>
      <c r="D118" s="6">
        <v>2965.96</v>
      </c>
      <c r="E118" s="6">
        <v>4118.2</v>
      </c>
      <c r="F118" s="6">
        <v>4691.32</v>
      </c>
      <c r="G118" s="6">
        <v>5833.3</v>
      </c>
      <c r="H118" s="10">
        <f t="shared" si="6"/>
        <v>4.5519101223557012E-2</v>
      </c>
      <c r="I118" s="10">
        <f t="shared" si="7"/>
        <v>2.798917954121477E-2</v>
      </c>
      <c r="J118" s="10">
        <f t="shared" si="8"/>
        <v>3.298360528122906E-2</v>
      </c>
      <c r="K118" s="10">
        <f t="shared" si="9"/>
        <v>4.5797341592320032E-2</v>
      </c>
      <c r="L118" s="10">
        <f t="shared" si="10"/>
        <v>5.2170847593337573E-2</v>
      </c>
    </row>
    <row r="119" spans="1:12" ht="18" x14ac:dyDescent="0.2">
      <c r="A119" s="2" t="s">
        <v>123</v>
      </c>
      <c r="B119" s="6">
        <v>1239.94</v>
      </c>
      <c r="C119" s="4">
        <v>575.47</v>
      </c>
      <c r="D119" s="4">
        <v>734.46</v>
      </c>
      <c r="E119" s="6">
        <v>1171.18</v>
      </c>
      <c r="F119" s="6">
        <v>1689.56</v>
      </c>
      <c r="G119" s="6">
        <v>1869.77</v>
      </c>
      <c r="H119" s="10">
        <f t="shared" si="6"/>
        <v>1.37890232951244E-2</v>
      </c>
      <c r="I119" s="10">
        <f t="shared" si="7"/>
        <v>6.3996396887310986E-3</v>
      </c>
      <c r="J119" s="10">
        <f t="shared" si="8"/>
        <v>8.1677226715301272E-3</v>
      </c>
      <c r="K119" s="10">
        <f t="shared" si="9"/>
        <v>1.3024362713344029E-2</v>
      </c>
      <c r="L119" s="10">
        <f t="shared" si="10"/>
        <v>1.878912060140844E-2</v>
      </c>
    </row>
    <row r="120" spans="1:12" ht="18" x14ac:dyDescent="0.2">
      <c r="A120" s="2" t="s">
        <v>124</v>
      </c>
      <c r="B120" s="4">
        <v>485.06</v>
      </c>
      <c r="C120" s="4">
        <v>412.38</v>
      </c>
      <c r="D120" s="4">
        <v>410.68</v>
      </c>
      <c r="E120" s="4">
        <v>457.6</v>
      </c>
      <c r="F120" s="4">
        <v>542.79</v>
      </c>
      <c r="G120" s="4">
        <v>585.98</v>
      </c>
      <c r="H120" s="10">
        <f t="shared" si="6"/>
        <v>5.3942155584407641E-3</v>
      </c>
      <c r="I120" s="10">
        <f t="shared" si="7"/>
        <v>4.5859617614105522E-3</v>
      </c>
      <c r="J120" s="10">
        <f t="shared" si="8"/>
        <v>4.5670565405113864E-3</v>
      </c>
      <c r="K120" s="10">
        <f t="shared" si="9"/>
        <v>5.0888406373283592E-3</v>
      </c>
      <c r="L120" s="10">
        <f t="shared" si="10"/>
        <v>6.0362146187400781E-3</v>
      </c>
    </row>
    <row r="121" spans="1:12" ht="18" x14ac:dyDescent="0.2">
      <c r="A121" s="2" t="s">
        <v>125</v>
      </c>
      <c r="B121" s="4">
        <v>246.96</v>
      </c>
      <c r="C121" s="4">
        <v>155.68</v>
      </c>
      <c r="D121" s="4">
        <v>255.66</v>
      </c>
      <c r="E121" s="4">
        <v>207.25</v>
      </c>
      <c r="F121" s="4">
        <v>262.3</v>
      </c>
      <c r="G121" s="4">
        <v>348.55</v>
      </c>
      <c r="H121" s="10">
        <f t="shared" si="6"/>
        <v>2.7463725607399726E-3</v>
      </c>
      <c r="I121" s="10">
        <f t="shared" si="7"/>
        <v>1.731273405636536E-3</v>
      </c>
      <c r="J121" s="10">
        <f t="shared" si="8"/>
        <v>2.8431228088709967E-3</v>
      </c>
      <c r="K121" s="10">
        <f t="shared" si="9"/>
        <v>2.3047688419718143E-3</v>
      </c>
      <c r="L121" s="10">
        <f t="shared" si="10"/>
        <v>2.9169643775595029E-3</v>
      </c>
    </row>
    <row r="122" spans="1:12" ht="18" x14ac:dyDescent="0.2">
      <c r="A122" s="2" t="s">
        <v>126</v>
      </c>
      <c r="B122" s="6">
        <v>3830.07</v>
      </c>
      <c r="C122" s="6">
        <v>1679.4</v>
      </c>
      <c r="D122" s="6">
        <v>2328.59</v>
      </c>
      <c r="E122" s="6">
        <v>3778.05</v>
      </c>
      <c r="F122" s="6">
        <v>4526.83</v>
      </c>
      <c r="G122" s="6">
        <v>6456.63</v>
      </c>
      <c r="H122" s="10">
        <f t="shared" si="6"/>
        <v>4.2593129064274975E-2</v>
      </c>
      <c r="I122" s="10">
        <f t="shared" si="7"/>
        <v>1.8676134104740484E-2</v>
      </c>
      <c r="J122" s="10">
        <f t="shared" si="8"/>
        <v>2.5895593137404815E-2</v>
      </c>
      <c r="K122" s="10">
        <f t="shared" si="9"/>
        <v>4.2014629304760506E-2</v>
      </c>
      <c r="L122" s="10">
        <f t="shared" si="10"/>
        <v>5.0341600660570661E-2</v>
      </c>
    </row>
    <row r="123" spans="1:12" ht="18" x14ac:dyDescent="0.2">
      <c r="A123" s="2" t="s">
        <v>127</v>
      </c>
      <c r="B123" s="6">
        <v>1082.83</v>
      </c>
      <c r="C123" s="4">
        <v>320.94</v>
      </c>
      <c r="D123" s="4">
        <v>440.06</v>
      </c>
      <c r="E123" s="4">
        <v>824.93</v>
      </c>
      <c r="F123" s="6">
        <v>1222.6300000000001</v>
      </c>
      <c r="G123" s="6">
        <v>2469.52</v>
      </c>
      <c r="H123" s="10">
        <f t="shared" si="6"/>
        <v>1.2041847262496212E-2</v>
      </c>
      <c r="I123" s="10">
        <f t="shared" si="7"/>
        <v>3.5690832913989586E-3</v>
      </c>
      <c r="J123" s="10">
        <f t="shared" si="8"/>
        <v>4.8937832405216725E-3</v>
      </c>
      <c r="K123" s="10">
        <f t="shared" si="9"/>
        <v>9.17381404491102E-3</v>
      </c>
      <c r="L123" s="10">
        <f t="shared" si="10"/>
        <v>1.359652366349819E-2</v>
      </c>
    </row>
    <row r="124" spans="1:12" ht="18" x14ac:dyDescent="0.2">
      <c r="A124" s="2" t="s">
        <v>128</v>
      </c>
      <c r="B124" s="6">
        <v>1125.68</v>
      </c>
      <c r="C124" s="4">
        <v>641.25</v>
      </c>
      <c r="D124" s="4">
        <v>951.27</v>
      </c>
      <c r="E124" s="6">
        <v>1239.8599999999999</v>
      </c>
      <c r="F124" s="6">
        <v>1204.22</v>
      </c>
      <c r="G124" s="6">
        <v>1518.01</v>
      </c>
      <c r="H124" s="10">
        <f t="shared" si="6"/>
        <v>1.2518370036336946E-2</v>
      </c>
      <c r="I124" s="10">
        <f t="shared" si="7"/>
        <v>7.1311605303470502E-3</v>
      </c>
      <c r="J124" s="10">
        <f t="shared" si="8"/>
        <v>1.0578805579264309E-2</v>
      </c>
      <c r="K124" s="10">
        <f t="shared" si="9"/>
        <v>1.378813363767032E-2</v>
      </c>
      <c r="L124" s="10">
        <f t="shared" si="10"/>
        <v>1.3391791241878401E-2</v>
      </c>
    </row>
    <row r="125" spans="1:12" ht="18" x14ac:dyDescent="0.2">
      <c r="A125" s="2" t="s">
        <v>129</v>
      </c>
      <c r="B125" s="6">
        <v>1045.8</v>
      </c>
      <c r="C125" s="4">
        <v>552.41</v>
      </c>
      <c r="D125" s="4">
        <v>696.12</v>
      </c>
      <c r="E125" s="6">
        <v>1001.82</v>
      </c>
      <c r="F125" s="6">
        <v>1328.08</v>
      </c>
      <c r="G125" s="6">
        <v>1572.18</v>
      </c>
      <c r="H125" s="10">
        <f t="shared" si="6"/>
        <v>1.1630047068439679E-2</v>
      </c>
      <c r="I125" s="10">
        <f t="shared" si="7"/>
        <v>6.1431959275930039E-3</v>
      </c>
      <c r="J125" s="10">
        <f t="shared" si="8"/>
        <v>7.7413543366630618E-3</v>
      </c>
      <c r="K125" s="10">
        <f t="shared" si="9"/>
        <v>1.1140957883060089E-2</v>
      </c>
      <c r="L125" s="10">
        <f t="shared" si="10"/>
        <v>1.4769203395155259E-2</v>
      </c>
    </row>
    <row r="126" spans="1:12" ht="18" x14ac:dyDescent="0.2">
      <c r="A126" s="2" t="s">
        <v>130</v>
      </c>
      <c r="B126" s="4">
        <v>827.92</v>
      </c>
      <c r="C126" s="4">
        <v>431.55</v>
      </c>
      <c r="D126" s="4">
        <v>556.04999999999995</v>
      </c>
      <c r="E126" s="4">
        <v>821.7</v>
      </c>
      <c r="F126" s="6">
        <v>1051.82</v>
      </c>
      <c r="G126" s="6">
        <v>1214.0899999999999</v>
      </c>
      <c r="H126" s="10">
        <f t="shared" si="6"/>
        <v>9.2070649922571992E-3</v>
      </c>
      <c r="I126" s="10">
        <f t="shared" si="7"/>
        <v>4.7991459288440853E-3</v>
      </c>
      <c r="J126" s="10">
        <f t="shared" si="8"/>
        <v>6.1836753417535703E-3</v>
      </c>
      <c r="K126" s="10">
        <f t="shared" si="9"/>
        <v>9.1378941252026058E-3</v>
      </c>
      <c r="L126" s="10">
        <f t="shared" si="10"/>
        <v>1.1696993791859078E-2</v>
      </c>
    </row>
    <row r="127" spans="1:12" ht="18" x14ac:dyDescent="0.2">
      <c r="A127" s="2" t="s">
        <v>131</v>
      </c>
      <c r="B127" s="4">
        <v>217.88</v>
      </c>
      <c r="C127" s="4">
        <v>120.86</v>
      </c>
      <c r="D127" s="4">
        <v>140.06</v>
      </c>
      <c r="E127" s="4">
        <v>180.12</v>
      </c>
      <c r="F127" s="4">
        <v>276.26</v>
      </c>
      <c r="G127" s="4">
        <v>358.09</v>
      </c>
      <c r="H127" s="10">
        <f t="shared" si="6"/>
        <v>2.4229820761824798E-3</v>
      </c>
      <c r="I127" s="10">
        <f t="shared" si="7"/>
        <v>1.3440499987489192E-3</v>
      </c>
      <c r="J127" s="10">
        <f t="shared" si="8"/>
        <v>1.5575677877277315E-3</v>
      </c>
      <c r="K127" s="10">
        <f t="shared" si="9"/>
        <v>2.0030637578574823E-3</v>
      </c>
      <c r="L127" s="10">
        <f t="shared" si="10"/>
        <v>3.0722096032961806E-3</v>
      </c>
    </row>
    <row r="128" spans="1:12" ht="18" x14ac:dyDescent="0.2">
      <c r="A128" s="2" t="s">
        <v>132</v>
      </c>
      <c r="B128" s="4">
        <v>575.76</v>
      </c>
      <c r="C128" s="4">
        <v>164.8</v>
      </c>
      <c r="D128" s="4">
        <v>241.15</v>
      </c>
      <c r="E128" s="4">
        <v>711.44</v>
      </c>
      <c r="F128" s="4">
        <v>771.9</v>
      </c>
      <c r="G128" s="4">
        <v>896.92</v>
      </c>
      <c r="H128" s="10">
        <f t="shared" si="6"/>
        <v>6.4028646970021325E-3</v>
      </c>
      <c r="I128" s="10">
        <f t="shared" si="7"/>
        <v>1.8326943554014719E-3</v>
      </c>
      <c r="J128" s="10">
        <f t="shared" si="8"/>
        <v>2.6817611881375298E-3</v>
      </c>
      <c r="K128" s="10">
        <f t="shared" si="9"/>
        <v>7.9117237391190722E-3</v>
      </c>
      <c r="L128" s="10">
        <f t="shared" si="10"/>
        <v>8.5840823600388111E-3</v>
      </c>
    </row>
    <row r="129" spans="1:12" ht="18" x14ac:dyDescent="0.2">
      <c r="A129" s="2" t="s">
        <v>133</v>
      </c>
      <c r="B129" s="6">
        <v>1105.0999999999999</v>
      </c>
      <c r="C129" s="4">
        <v>541.92999999999995</v>
      </c>
      <c r="D129" s="4">
        <v>868.34</v>
      </c>
      <c r="E129" s="6">
        <v>1099.3</v>
      </c>
      <c r="F129" s="6">
        <v>1250.8900000000001</v>
      </c>
      <c r="G129" s="6">
        <v>1682.55</v>
      </c>
      <c r="H129" s="10">
        <f t="shared" si="6"/>
        <v>1.2289505656275282E-2</v>
      </c>
      <c r="I129" s="10">
        <f t="shared" si="7"/>
        <v>6.0266508011087346E-3</v>
      </c>
      <c r="J129" s="10">
        <f t="shared" si="8"/>
        <v>9.6565644209303039E-3</v>
      </c>
      <c r="K129" s="10">
        <f t="shared" si="9"/>
        <v>1.2225005490854599E-2</v>
      </c>
      <c r="L129" s="10">
        <f t="shared" si="10"/>
        <v>1.391079515915138E-2</v>
      </c>
    </row>
    <row r="130" spans="1:12" ht="18" x14ac:dyDescent="0.2">
      <c r="A130" s="2" t="s">
        <v>134</v>
      </c>
      <c r="B130" s="4">
        <v>165.32</v>
      </c>
      <c r="C130" s="4">
        <v>98.52</v>
      </c>
      <c r="D130" s="4">
        <v>162.94999999999999</v>
      </c>
      <c r="E130" s="4">
        <v>118.52</v>
      </c>
      <c r="F130" s="4">
        <v>220.21</v>
      </c>
      <c r="G130" s="4">
        <v>217.62</v>
      </c>
      <c r="H130" s="10">
        <f t="shared" si="6"/>
        <v>1.8384771288529813E-3</v>
      </c>
      <c r="I130" s="10">
        <f t="shared" si="7"/>
        <v>1.0956131546975302E-3</v>
      </c>
      <c r="J130" s="10">
        <f t="shared" si="8"/>
        <v>1.8121210267759091E-3</v>
      </c>
      <c r="K130" s="10">
        <f t="shared" si="9"/>
        <v>1.3180275182171264E-3</v>
      </c>
      <c r="L130" s="10">
        <f t="shared" si="10"/>
        <v>2.4488933495325129E-3</v>
      </c>
    </row>
    <row r="131" spans="1:12" ht="18" x14ac:dyDescent="0.2">
      <c r="A131" s="2" t="s">
        <v>135</v>
      </c>
      <c r="B131" s="6">
        <v>1691.97</v>
      </c>
      <c r="C131" s="6">
        <v>1093.81</v>
      </c>
      <c r="D131" s="4">
        <v>527.59</v>
      </c>
      <c r="E131" s="6">
        <v>1305.33</v>
      </c>
      <c r="F131" s="6">
        <v>1008.77</v>
      </c>
      <c r="G131" s="6">
        <v>4467.09</v>
      </c>
      <c r="H131" s="10">
        <f t="shared" si="6"/>
        <v>1.8815921532212551E-2</v>
      </c>
      <c r="I131" s="10">
        <f t="shared" si="7"/>
        <v>1.216395274806847E-2</v>
      </c>
      <c r="J131" s="10">
        <f t="shared" si="8"/>
        <v>5.8671797024651851E-3</v>
      </c>
      <c r="K131" s="10">
        <f t="shared" si="9"/>
        <v>1.4516207056651718E-2</v>
      </c>
      <c r="L131" s="10">
        <f t="shared" si="10"/>
        <v>1.1218246874383147E-2</v>
      </c>
    </row>
    <row r="132" spans="1:12" ht="18" x14ac:dyDescent="0.2">
      <c r="A132" s="2" t="s">
        <v>136</v>
      </c>
      <c r="B132" s="4">
        <v>241.32</v>
      </c>
      <c r="C132" s="4">
        <v>242.25</v>
      </c>
      <c r="D132" s="4">
        <v>217.41</v>
      </c>
      <c r="E132" s="4">
        <v>293.05</v>
      </c>
      <c r="F132" s="4">
        <v>252.24</v>
      </c>
      <c r="G132" s="4">
        <v>194.22</v>
      </c>
      <c r="H132" s="10">
        <f t="shared" si="6"/>
        <v>2.6836517102274463E-3</v>
      </c>
      <c r="I132" s="10">
        <f t="shared" si="7"/>
        <v>2.6939939781311078E-3</v>
      </c>
      <c r="J132" s="10">
        <f t="shared" si="8"/>
        <v>2.4177553386397692E-3</v>
      </c>
      <c r="K132" s="10">
        <f t="shared" si="9"/>
        <v>3.258926461470882E-3</v>
      </c>
      <c r="L132" s="10">
        <f t="shared" si="10"/>
        <v>2.8050899527091461E-3</v>
      </c>
    </row>
    <row r="133" spans="1:12" ht="18" x14ac:dyDescent="0.2">
      <c r="A133" s="2" t="s">
        <v>137</v>
      </c>
      <c r="B133" s="6">
        <v>1184.27</v>
      </c>
      <c r="C133" s="4">
        <v>533.95000000000005</v>
      </c>
      <c r="D133" s="4">
        <v>626.44000000000005</v>
      </c>
      <c r="E133" s="6">
        <v>1311.33</v>
      </c>
      <c r="F133" s="6">
        <v>1020.05</v>
      </c>
      <c r="G133" s="6">
        <v>2313.14</v>
      </c>
      <c r="H133" s="10">
        <f t="shared" si="6"/>
        <v>1.3169932914267603E-2</v>
      </c>
      <c r="I133" s="10">
        <f t="shared" si="7"/>
        <v>5.9379074700644172E-3</v>
      </c>
      <c r="J133" s="10">
        <f t="shared" si="8"/>
        <v>6.9664626941607893E-3</v>
      </c>
      <c r="K133" s="10">
        <f t="shared" si="9"/>
        <v>1.4582931365707597E-2</v>
      </c>
      <c r="L133" s="10">
        <f t="shared" si="10"/>
        <v>1.13436885754082E-2</v>
      </c>
    </row>
    <row r="134" spans="1:12" ht="18" x14ac:dyDescent="0.2">
      <c r="A134" s="2" t="s">
        <v>138</v>
      </c>
      <c r="B134" s="6">
        <v>2096.85</v>
      </c>
      <c r="C134" s="4">
        <v>939.28</v>
      </c>
      <c r="D134" s="6">
        <v>1226.22</v>
      </c>
      <c r="E134" s="6">
        <v>1734.62</v>
      </c>
      <c r="F134" s="6">
        <v>1716.59</v>
      </c>
      <c r="G134" s="6">
        <v>4716.55</v>
      </c>
      <c r="H134" s="10">
        <f t="shared" si="6"/>
        <v>2.3318477907303254E-2</v>
      </c>
      <c r="I134" s="10">
        <f t="shared" si="7"/>
        <v>1.0445468168334311E-2</v>
      </c>
      <c r="J134" s="10">
        <f t="shared" si="8"/>
        <v>1.3636447041749957E-2</v>
      </c>
      <c r="K134" s="10">
        <f t="shared" si="9"/>
        <v>1.9290220162418086E-2</v>
      </c>
      <c r="L134" s="10">
        <f t="shared" si="10"/>
        <v>1.9089713613705171E-2</v>
      </c>
    </row>
    <row r="135" spans="1:12" ht="18" x14ac:dyDescent="0.2">
      <c r="A135" s="2" t="s">
        <v>139</v>
      </c>
      <c r="B135" s="6">
        <v>10773.65</v>
      </c>
      <c r="C135" s="4">
        <v>765.34</v>
      </c>
      <c r="D135" s="6">
        <v>3232.5</v>
      </c>
      <c r="E135" s="6">
        <v>7142.97</v>
      </c>
      <c r="F135" s="6">
        <v>12976.31</v>
      </c>
      <c r="G135" s="6">
        <v>27952.73</v>
      </c>
      <c r="H135" s="10">
        <f t="shared" si="6"/>
        <v>0.11981072537664482</v>
      </c>
      <c r="I135" s="10">
        <f t="shared" si="7"/>
        <v>8.5111304488043847E-3</v>
      </c>
      <c r="J135" s="10">
        <f t="shared" si="8"/>
        <v>3.5947721503854717E-2</v>
      </c>
      <c r="K135" s="10">
        <f t="shared" si="9"/>
        <v>7.9434956309478472E-2</v>
      </c>
      <c r="L135" s="10">
        <f t="shared" si="10"/>
        <v>0.14430588647414849</v>
      </c>
    </row>
    <row r="136" spans="1:12" ht="18" x14ac:dyDescent="0.2">
      <c r="A136" s="2" t="s">
        <v>140</v>
      </c>
      <c r="B136" s="4">
        <v>557.80999999999995</v>
      </c>
      <c r="C136" s="4">
        <v>210.52</v>
      </c>
      <c r="D136" s="4">
        <v>271.33999999999997</v>
      </c>
      <c r="E136" s="4">
        <v>387.04</v>
      </c>
      <c r="F136" s="4">
        <v>704.34</v>
      </c>
      <c r="G136" s="6">
        <v>1147.95</v>
      </c>
      <c r="H136" s="10">
        <f t="shared" si="6"/>
        <v>6.2032478057432944E-3</v>
      </c>
      <c r="I136" s="10">
        <f t="shared" si="7"/>
        <v>2.3411335904072687E-3</v>
      </c>
      <c r="J136" s="10">
        <f t="shared" si="8"/>
        <v>3.0174956698703599E-3</v>
      </c>
      <c r="K136" s="10">
        <f t="shared" si="9"/>
        <v>4.3041627628312238E-3</v>
      </c>
      <c r="L136" s="10">
        <f t="shared" si="10"/>
        <v>7.8327666400696168E-3</v>
      </c>
    </row>
    <row r="137" spans="1:12" ht="18" x14ac:dyDescent="0.2">
      <c r="A137" s="2" t="s">
        <v>141</v>
      </c>
      <c r="B137" s="6">
        <v>10215.84</v>
      </c>
      <c r="C137" s="4">
        <v>554.82000000000005</v>
      </c>
      <c r="D137" s="6">
        <v>2961.16</v>
      </c>
      <c r="E137" s="6">
        <v>6755.93</v>
      </c>
      <c r="F137" s="6">
        <v>12271.97</v>
      </c>
      <c r="G137" s="6">
        <v>26804.78</v>
      </c>
      <c r="H137" s="10">
        <f t="shared" si="6"/>
        <v>0.11360747757090153</v>
      </c>
      <c r="I137" s="10">
        <f t="shared" si="7"/>
        <v>6.169996858397116E-3</v>
      </c>
      <c r="J137" s="10">
        <f t="shared" si="8"/>
        <v>3.2930225833984354E-2</v>
      </c>
      <c r="K137" s="10">
        <f t="shared" si="9"/>
        <v>7.5130793546647243E-2</v>
      </c>
      <c r="L137" s="10">
        <f t="shared" si="10"/>
        <v>0.13647311983407887</v>
      </c>
    </row>
    <row r="138" spans="1:12" ht="18" x14ac:dyDescent="0.2">
      <c r="A138" s="2" t="s">
        <v>142</v>
      </c>
      <c r="B138" s="4"/>
      <c r="C138" s="4"/>
      <c r="D138" s="4"/>
      <c r="E138" s="4"/>
      <c r="F138" s="4"/>
      <c r="G138" s="4"/>
      <c r="H138" s="10">
        <f>H143+H97+H64+H95+H89+H108+H78+H80+H91</f>
        <v>0.281285221399598</v>
      </c>
      <c r="I138" s="10">
        <f>I55+I97+I64+I95+I89+I108+I78+I80+I91</f>
        <v>0.17267873079243459</v>
      </c>
      <c r="J138" s="10">
        <f t="shared" ref="I138:L138" si="11">J143+J97+J64+J95+J89+J108+J78+J80+J91</f>
        <v>0.19577390467876413</v>
      </c>
      <c r="K138" s="10">
        <f t="shared" si="11"/>
        <v>0.2549719340875034</v>
      </c>
      <c r="L138" s="10">
        <f t="shared" si="11"/>
        <v>0.30931855019197141</v>
      </c>
    </row>
    <row r="139" spans="1:12" ht="18" x14ac:dyDescent="0.2">
      <c r="A139" s="2" t="s">
        <v>9</v>
      </c>
      <c r="B139" s="6">
        <v>116429.05</v>
      </c>
      <c r="C139" s="6">
        <v>16424.939999999999</v>
      </c>
      <c r="D139" s="6">
        <v>44742.16</v>
      </c>
      <c r="E139" s="6">
        <v>79231.86</v>
      </c>
      <c r="F139" s="6">
        <v>131312.39000000001</v>
      </c>
      <c r="G139" s="6">
        <v>293428.58</v>
      </c>
      <c r="H139" s="10"/>
      <c r="I139" s="10"/>
      <c r="J139" s="10"/>
      <c r="K139" s="10"/>
      <c r="L139" s="10"/>
    </row>
    <row r="140" spans="1:12" ht="18" x14ac:dyDescent="0.2">
      <c r="A140" s="2" t="s">
        <v>143</v>
      </c>
      <c r="B140" s="6">
        <v>91104.61</v>
      </c>
      <c r="C140" s="6">
        <v>5014.1099999999997</v>
      </c>
      <c r="D140" s="6">
        <v>29053.15</v>
      </c>
      <c r="E140" s="6">
        <v>60072.26</v>
      </c>
      <c r="F140" s="6">
        <v>104660.61</v>
      </c>
      <c r="G140" s="6">
        <v>241930.41</v>
      </c>
      <c r="H140" s="10"/>
      <c r="I140" s="10"/>
      <c r="J140" s="10"/>
      <c r="K140" s="10"/>
      <c r="L140" s="10"/>
    </row>
    <row r="141" spans="1:12" ht="18" x14ac:dyDescent="0.2">
      <c r="A141" s="2" t="s">
        <v>144</v>
      </c>
      <c r="B141" s="6">
        <v>9450.16</v>
      </c>
      <c r="C141" s="4">
        <v>680.26</v>
      </c>
      <c r="D141" s="6">
        <v>1826.15</v>
      </c>
      <c r="E141" s="6">
        <v>4512.7700000000004</v>
      </c>
      <c r="F141" s="6">
        <v>7524.48</v>
      </c>
      <c r="G141" s="6">
        <v>31543.32</v>
      </c>
      <c r="H141" s="10"/>
      <c r="I141" s="10"/>
      <c r="J141" s="10"/>
      <c r="K141" s="10"/>
      <c r="L141" s="10"/>
    </row>
    <row r="142" spans="1:12" ht="18" x14ac:dyDescent="0.2">
      <c r="A142" s="2" t="s">
        <v>145</v>
      </c>
      <c r="B142" s="6">
        <v>10028.89</v>
      </c>
      <c r="C142" s="6">
        <v>7308.76</v>
      </c>
      <c r="D142" s="6">
        <v>10491.58</v>
      </c>
      <c r="E142" s="6">
        <v>10714.71</v>
      </c>
      <c r="F142" s="6">
        <v>12687.67</v>
      </c>
      <c r="G142" s="6">
        <v>8310.59</v>
      </c>
      <c r="H142" s="10"/>
      <c r="I142" s="10"/>
      <c r="J142" s="10"/>
      <c r="K142" s="10"/>
      <c r="L142" s="10"/>
    </row>
    <row r="143" spans="1:12" ht="18" x14ac:dyDescent="0.2">
      <c r="A143" s="2" t="s">
        <v>146</v>
      </c>
      <c r="B143" s="6">
        <v>3794.42</v>
      </c>
      <c r="C143" s="4">
        <v>365.63</v>
      </c>
      <c r="D143" s="4">
        <v>872.75</v>
      </c>
      <c r="E143" s="6">
        <v>2063.1799999999998</v>
      </c>
      <c r="F143" s="6">
        <v>4661.29</v>
      </c>
      <c r="G143" s="6">
        <v>10391.4</v>
      </c>
      <c r="H143" s="10"/>
      <c r="I143" s="10"/>
      <c r="J143" s="10"/>
      <c r="K143" s="10"/>
      <c r="L143" s="10"/>
    </row>
    <row r="144" spans="1:12" ht="18" x14ac:dyDescent="0.2">
      <c r="A144" s="2" t="s">
        <v>147</v>
      </c>
      <c r="B144" s="4">
        <v>757.5</v>
      </c>
      <c r="C144" s="6">
        <v>1758.14</v>
      </c>
      <c r="D144" s="6">
        <v>1325.88</v>
      </c>
      <c r="E144" s="4">
        <v>583.12</v>
      </c>
      <c r="F144" s="4">
        <v>257.04000000000002</v>
      </c>
      <c r="G144" s="4">
        <v>91.4</v>
      </c>
      <c r="H144" s="10"/>
      <c r="I144" s="10"/>
      <c r="J144" s="10"/>
      <c r="K144" s="10"/>
      <c r="L144" s="10"/>
    </row>
    <row r="145" spans="1:12" ht="18" x14ac:dyDescent="0.2">
      <c r="A145" s="2" t="s">
        <v>148</v>
      </c>
      <c r="B145" s="4">
        <v>831.2</v>
      </c>
      <c r="C145" s="4">
        <v>456.72</v>
      </c>
      <c r="D145" s="4">
        <v>566.70000000000005</v>
      </c>
      <c r="E145" s="4">
        <v>961.29</v>
      </c>
      <c r="F145" s="6">
        <v>1157.55</v>
      </c>
      <c r="G145" s="4">
        <v>907.88</v>
      </c>
      <c r="H145" s="10"/>
      <c r="I145" s="10"/>
      <c r="J145" s="10"/>
      <c r="K145" s="10"/>
      <c r="L145" s="10"/>
    </row>
    <row r="146" spans="1:12" ht="18" x14ac:dyDescent="0.2">
      <c r="A146" s="2" t="s">
        <v>149</v>
      </c>
      <c r="B146" s="4">
        <v>462.29</v>
      </c>
      <c r="C146" s="4">
        <v>841.33</v>
      </c>
      <c r="D146" s="4">
        <v>605.95000000000005</v>
      </c>
      <c r="E146" s="4">
        <v>324.51</v>
      </c>
      <c r="F146" s="4">
        <v>363.75</v>
      </c>
      <c r="G146" s="4">
        <v>253.57</v>
      </c>
      <c r="H146" s="10"/>
      <c r="I146" s="10"/>
      <c r="J146" s="10"/>
      <c r="K146" s="10"/>
      <c r="L146" s="10"/>
    </row>
    <row r="147" spans="1:12" ht="18" x14ac:dyDescent="0.2">
      <c r="A147" s="2" t="s">
        <v>150</v>
      </c>
      <c r="B147" s="6">
        <v>17145.34</v>
      </c>
      <c r="C147" s="6">
        <v>-1017.96</v>
      </c>
      <c r="D147" s="6">
        <v>-1140.31</v>
      </c>
      <c r="E147" s="6">
        <v>5472.95</v>
      </c>
      <c r="F147" s="6">
        <v>13946.18</v>
      </c>
      <c r="G147" s="6">
        <v>65913.649999999994</v>
      </c>
      <c r="H147" s="10"/>
      <c r="I147" s="10"/>
      <c r="J147" s="10"/>
      <c r="K147" s="10"/>
      <c r="L147" s="10"/>
    </row>
    <row r="148" spans="1:12" ht="18" x14ac:dyDescent="0.2">
      <c r="A148" s="2" t="s">
        <v>151</v>
      </c>
      <c r="B148" s="6">
        <v>12467.31</v>
      </c>
      <c r="C148" s="6">
        <v>-1060.31</v>
      </c>
      <c r="D148" s="6">
        <v>-1437.89</v>
      </c>
      <c r="E148" s="6">
        <v>3982.45</v>
      </c>
      <c r="F148" s="6">
        <v>10310.92</v>
      </c>
      <c r="G148" s="6">
        <v>48588.23</v>
      </c>
      <c r="H148" s="10"/>
      <c r="I148" s="10"/>
      <c r="J148" s="10"/>
      <c r="K148" s="10"/>
      <c r="L148" s="10"/>
    </row>
    <row r="149" spans="1:12" ht="18" x14ac:dyDescent="0.2">
      <c r="A149" s="2" t="s">
        <v>152</v>
      </c>
      <c r="B149" s="6">
        <v>4589.45</v>
      </c>
      <c r="C149" s="4">
        <v>8.9600000000000009</v>
      </c>
      <c r="D149" s="4">
        <v>234.27</v>
      </c>
      <c r="E149" s="6">
        <v>1421.12</v>
      </c>
      <c r="F149" s="6">
        <v>3532.45</v>
      </c>
      <c r="G149" s="6">
        <v>17160.59</v>
      </c>
      <c r="H149" s="10"/>
      <c r="I149" s="10"/>
      <c r="J149" s="10"/>
      <c r="K149" s="10"/>
      <c r="L149" s="10"/>
    </row>
    <row r="150" spans="1:12" ht="18" x14ac:dyDescent="0.2">
      <c r="A150" s="2" t="s">
        <v>153</v>
      </c>
      <c r="B150" s="4">
        <v>88.58</v>
      </c>
      <c r="C150" s="4">
        <v>33.39</v>
      </c>
      <c r="D150" s="4">
        <v>63.31</v>
      </c>
      <c r="E150" s="4">
        <v>69.38</v>
      </c>
      <c r="F150" s="4">
        <v>102.81</v>
      </c>
      <c r="G150" s="4">
        <v>164.84</v>
      </c>
      <c r="H150" s="10"/>
      <c r="I150" s="10"/>
      <c r="J150" s="10"/>
      <c r="K150" s="10"/>
      <c r="L15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301C-9580-FD4F-AB4F-825D11BB2178}">
  <dimension ref="A1:L164"/>
  <sheetViews>
    <sheetView topLeftCell="A124" workbookViewId="0">
      <selection activeCell="I145" sqref="I145"/>
    </sheetView>
  </sheetViews>
  <sheetFormatPr baseColWidth="10" defaultRowHeight="16" x14ac:dyDescent="0.2"/>
  <sheetData>
    <row r="1" spans="1:7" x14ac:dyDescent="0.2">
      <c r="A1" t="s">
        <v>160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14474625</v>
      </c>
      <c r="C3" s="3">
        <v>2552347</v>
      </c>
      <c r="D3" s="3">
        <v>2649895</v>
      </c>
      <c r="E3" s="3">
        <v>3142215</v>
      </c>
      <c r="F3" s="3">
        <v>3107505</v>
      </c>
      <c r="G3" s="3">
        <v>3022663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104398.98</v>
      </c>
      <c r="C5" s="5">
        <v>15102.74</v>
      </c>
      <c r="D5" s="5">
        <v>41320.769999999997</v>
      </c>
      <c r="E5" s="5">
        <v>71963.78</v>
      </c>
      <c r="F5" s="5">
        <v>117021.36</v>
      </c>
      <c r="G5" s="5">
        <v>255841.59</v>
      </c>
    </row>
    <row r="6" spans="1:7" ht="18" x14ac:dyDescent="0.2">
      <c r="A6" s="2" t="s">
        <v>10</v>
      </c>
      <c r="B6" s="4">
        <v>51.2</v>
      </c>
      <c r="C6" s="4">
        <v>56.2</v>
      </c>
      <c r="D6" s="4">
        <v>53.4</v>
      </c>
      <c r="E6" s="4">
        <v>48.7</v>
      </c>
      <c r="F6" s="4">
        <v>49.7</v>
      </c>
      <c r="G6" s="4">
        <v>49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1.7</v>
      </c>
      <c r="D8" s="4">
        <v>2.4</v>
      </c>
      <c r="E8" s="4">
        <v>2.8</v>
      </c>
      <c r="F8" s="4">
        <v>3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0.3</v>
      </c>
      <c r="D9" s="4">
        <v>0.7</v>
      </c>
      <c r="E9" s="4">
        <v>0.7</v>
      </c>
      <c r="F9" s="4">
        <v>0.6</v>
      </c>
      <c r="G9" s="4">
        <v>0.8</v>
      </c>
    </row>
    <row r="10" spans="1:7" ht="18" x14ac:dyDescent="0.2">
      <c r="A10" s="2" t="s">
        <v>14</v>
      </c>
      <c r="B10" s="4">
        <v>0.4</v>
      </c>
      <c r="C10" s="4">
        <v>0.5</v>
      </c>
      <c r="D10" s="4">
        <v>0.5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</v>
      </c>
      <c r="E11" s="4">
        <v>1.5</v>
      </c>
      <c r="F11" s="4">
        <v>1.9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1.5</v>
      </c>
      <c r="E12" s="4">
        <v>1.8</v>
      </c>
      <c r="F12" s="4">
        <v>2.2999999999999998</v>
      </c>
      <c r="G12" s="4">
        <v>2.5</v>
      </c>
    </row>
    <row r="13" spans="1:7" ht="18" x14ac:dyDescent="0.2">
      <c r="A13" s="2" t="s">
        <v>155</v>
      </c>
      <c r="B13" s="4"/>
      <c r="C13" s="4"/>
      <c r="D13" s="4"/>
      <c r="E13" s="4"/>
      <c r="F13" s="4"/>
      <c r="G13" s="4"/>
    </row>
    <row r="14" spans="1:7" ht="18" x14ac:dyDescent="0.2">
      <c r="A14" s="2" t="s">
        <v>156</v>
      </c>
      <c r="B14" s="4"/>
      <c r="C14" s="4"/>
      <c r="D14" s="4"/>
      <c r="E14" s="4"/>
      <c r="F14" s="4"/>
      <c r="G14" s="4"/>
    </row>
    <row r="15" spans="1:7" ht="18" x14ac:dyDescent="0.2">
      <c r="A15" s="2" t="s">
        <v>18</v>
      </c>
      <c r="B15" s="4">
        <v>49.8</v>
      </c>
      <c r="C15" s="4">
        <v>45.4</v>
      </c>
      <c r="D15" s="4">
        <v>41</v>
      </c>
      <c r="E15" s="4">
        <v>50.5</v>
      </c>
      <c r="F15" s="4">
        <v>55.6</v>
      </c>
      <c r="G15" s="4">
        <v>54.7</v>
      </c>
    </row>
    <row r="16" spans="1:7" ht="18" x14ac:dyDescent="0.2">
      <c r="A16" s="2" t="s">
        <v>19</v>
      </c>
      <c r="B16" s="4">
        <v>50.2</v>
      </c>
      <c r="C16" s="4">
        <v>54.6</v>
      </c>
      <c r="D16" s="4">
        <v>59</v>
      </c>
      <c r="E16" s="4">
        <v>49.5</v>
      </c>
      <c r="F16" s="4">
        <v>44.4</v>
      </c>
      <c r="G16" s="4">
        <v>45.3</v>
      </c>
    </row>
    <row r="17" spans="1:7" ht="18" x14ac:dyDescent="0.2">
      <c r="A17" s="2" t="s">
        <v>157</v>
      </c>
      <c r="B17" s="4"/>
      <c r="C17" s="4"/>
      <c r="D17" s="4"/>
      <c r="E17" s="4"/>
      <c r="F17" s="4"/>
      <c r="G17" s="4"/>
    </row>
    <row r="18" spans="1:7" ht="18" x14ac:dyDescent="0.2">
      <c r="A18" s="2" t="s">
        <v>21</v>
      </c>
      <c r="B18" s="4">
        <v>54.3</v>
      </c>
      <c r="C18" s="4">
        <v>34.4</v>
      </c>
      <c r="D18" s="4">
        <v>42.2</v>
      </c>
      <c r="E18" s="4">
        <v>47.8</v>
      </c>
      <c r="F18" s="4">
        <v>65</v>
      </c>
      <c r="G18" s="4">
        <v>77.3</v>
      </c>
    </row>
    <row r="19" spans="1:7" ht="18" x14ac:dyDescent="0.2">
      <c r="A19" s="2" t="s">
        <v>22</v>
      </c>
      <c r="B19" s="4">
        <v>35.299999999999997</v>
      </c>
      <c r="C19" s="4">
        <v>10.199999999999999</v>
      </c>
      <c r="D19" s="4">
        <v>17.100000000000001</v>
      </c>
      <c r="E19" s="4">
        <v>32.4</v>
      </c>
      <c r="F19" s="4">
        <v>47.8</v>
      </c>
      <c r="G19" s="4">
        <v>62.8</v>
      </c>
    </row>
    <row r="20" spans="1:7" ht="18" x14ac:dyDescent="0.2">
      <c r="A20" s="2" t="s">
        <v>23</v>
      </c>
      <c r="B20" s="4">
        <v>18.899999999999999</v>
      </c>
      <c r="C20" s="4">
        <v>24.1</v>
      </c>
      <c r="D20" s="4">
        <v>25.1</v>
      </c>
      <c r="E20" s="4">
        <v>15.4</v>
      </c>
      <c r="F20" s="4">
        <v>17.100000000000001</v>
      </c>
      <c r="G20" s="4">
        <v>14.5</v>
      </c>
    </row>
    <row r="21" spans="1:7" ht="18" x14ac:dyDescent="0.2">
      <c r="A21" s="2" t="s">
        <v>24</v>
      </c>
      <c r="B21" s="4">
        <v>45.7</v>
      </c>
      <c r="C21" s="4">
        <v>65.599999999999994</v>
      </c>
      <c r="D21" s="4">
        <v>57.8</v>
      </c>
      <c r="E21" s="4">
        <v>52.2</v>
      </c>
      <c r="F21" s="4">
        <v>35</v>
      </c>
      <c r="G21" s="4">
        <v>22.7</v>
      </c>
    </row>
    <row r="22" spans="1:7" ht="18" x14ac:dyDescent="0.2">
      <c r="A22" s="2" t="s">
        <v>25</v>
      </c>
      <c r="B22" s="4"/>
      <c r="C22" s="4"/>
      <c r="D22" s="4"/>
      <c r="E22" s="4"/>
      <c r="F22" s="4"/>
      <c r="G22" s="4"/>
    </row>
    <row r="23" spans="1:7" ht="18" x14ac:dyDescent="0.2">
      <c r="A23" s="2" t="s">
        <v>26</v>
      </c>
      <c r="B23" s="4">
        <v>4.5999999999999996</v>
      </c>
      <c r="C23" s="4">
        <v>5.0999999999999996</v>
      </c>
      <c r="D23" s="4">
        <v>6.1</v>
      </c>
      <c r="E23" s="4">
        <v>4.0999999999999996</v>
      </c>
      <c r="F23" s="4">
        <v>4.9000000000000004</v>
      </c>
      <c r="G23" s="4">
        <v>3.3</v>
      </c>
    </row>
    <row r="24" spans="1:7" ht="18" x14ac:dyDescent="0.2">
      <c r="A24" s="2" t="s">
        <v>27</v>
      </c>
      <c r="B24" s="4">
        <v>95.4</v>
      </c>
      <c r="C24" s="4">
        <v>94.9</v>
      </c>
      <c r="D24" s="4">
        <v>93.9</v>
      </c>
      <c r="E24" s="4">
        <v>95.9</v>
      </c>
      <c r="F24" s="4">
        <v>95.1</v>
      </c>
      <c r="G24" s="4">
        <v>96.7</v>
      </c>
    </row>
    <row r="25" spans="1:7" ht="18" x14ac:dyDescent="0.2">
      <c r="A25" s="2" t="s">
        <v>28</v>
      </c>
      <c r="B25" s="4"/>
      <c r="C25" s="4"/>
      <c r="D25" s="4"/>
      <c r="E25" s="4"/>
      <c r="F25" s="4"/>
      <c r="G25" s="4"/>
    </row>
    <row r="26" spans="1:7" ht="18" x14ac:dyDescent="0.2">
      <c r="A26" s="2" t="s">
        <v>29</v>
      </c>
      <c r="B26" s="4">
        <v>30.5</v>
      </c>
      <c r="C26" s="4">
        <v>27.8</v>
      </c>
      <c r="D26" s="4">
        <v>33.9</v>
      </c>
      <c r="E26" s="4">
        <v>36.799999999999997</v>
      </c>
      <c r="F26" s="4">
        <v>32.799999999999997</v>
      </c>
      <c r="G26" s="4">
        <v>20.8</v>
      </c>
    </row>
    <row r="27" spans="1:7" ht="18" x14ac:dyDescent="0.2">
      <c r="A27" s="2" t="s">
        <v>30</v>
      </c>
      <c r="B27" s="4">
        <v>69.5</v>
      </c>
      <c r="C27" s="4">
        <v>72.2</v>
      </c>
      <c r="D27" s="4">
        <v>66.099999999999994</v>
      </c>
      <c r="E27" s="4">
        <v>63.2</v>
      </c>
      <c r="F27" s="4">
        <v>67.2</v>
      </c>
      <c r="G27" s="4">
        <v>79.2</v>
      </c>
    </row>
    <row r="28" spans="1:7" ht="18" x14ac:dyDescent="0.2">
      <c r="A28" s="2" t="s">
        <v>31</v>
      </c>
      <c r="B28" s="4"/>
      <c r="C28" s="4"/>
      <c r="D28" s="4"/>
      <c r="E28" s="4"/>
      <c r="F28" s="4"/>
      <c r="G28" s="4"/>
    </row>
    <row r="29" spans="1:7" ht="18" x14ac:dyDescent="0.2">
      <c r="A29" s="2" t="s">
        <v>32</v>
      </c>
      <c r="B29" s="4">
        <v>3.7</v>
      </c>
      <c r="C29" s="4">
        <v>6.5</v>
      </c>
      <c r="D29" s="4">
        <v>5.8</v>
      </c>
      <c r="E29" s="4">
        <v>3.3</v>
      </c>
      <c r="F29" s="4">
        <v>3.3</v>
      </c>
      <c r="G29" s="4">
        <v>0.3</v>
      </c>
    </row>
    <row r="30" spans="1:7" ht="18" x14ac:dyDescent="0.2">
      <c r="A30" s="2" t="s">
        <v>33</v>
      </c>
      <c r="B30" s="4">
        <v>23.2</v>
      </c>
      <c r="C30" s="4">
        <v>31.9</v>
      </c>
      <c r="D30" s="4">
        <v>29.5</v>
      </c>
      <c r="E30" s="4">
        <v>26.7</v>
      </c>
      <c r="F30" s="4">
        <v>21.2</v>
      </c>
      <c r="G30" s="4">
        <v>8.8000000000000007</v>
      </c>
    </row>
    <row r="31" spans="1:7" ht="18" x14ac:dyDescent="0.2">
      <c r="A31" s="2" t="s">
        <v>34</v>
      </c>
      <c r="B31" s="4">
        <v>72.5</v>
      </c>
      <c r="C31" s="4">
        <v>60.2</v>
      </c>
      <c r="D31" s="4">
        <v>63.3</v>
      </c>
      <c r="E31" s="4">
        <v>69.599999999999994</v>
      </c>
      <c r="F31" s="4">
        <v>75.3</v>
      </c>
      <c r="G31" s="4">
        <v>90.9</v>
      </c>
    </row>
    <row r="32" spans="1:7" ht="18" x14ac:dyDescent="0.2">
      <c r="A32" s="2" t="s">
        <v>35</v>
      </c>
      <c r="B32" s="4">
        <v>0.6</v>
      </c>
      <c r="C32" s="4">
        <v>1.5</v>
      </c>
      <c r="D32" s="4">
        <v>1.3</v>
      </c>
      <c r="E32" s="4">
        <v>0.4</v>
      </c>
      <c r="F32" s="4">
        <v>0.2</v>
      </c>
      <c r="G32" s="4">
        <v>0</v>
      </c>
    </row>
    <row r="33" spans="1:12" ht="18" x14ac:dyDescent="0.2">
      <c r="A33" s="2" t="s">
        <v>36</v>
      </c>
      <c r="B33" s="4">
        <v>91.4</v>
      </c>
      <c r="C33" s="4">
        <v>73.7</v>
      </c>
      <c r="D33" s="4">
        <v>91.1</v>
      </c>
      <c r="E33" s="4">
        <v>93.9</v>
      </c>
      <c r="F33" s="4">
        <v>97.5</v>
      </c>
      <c r="G33" s="4">
        <v>97.5</v>
      </c>
    </row>
    <row r="34" spans="1:12" ht="18" x14ac:dyDescent="0.2">
      <c r="A34" s="1"/>
      <c r="B34" s="4"/>
      <c r="C34" s="4"/>
      <c r="D34" s="4"/>
      <c r="E34" s="4"/>
      <c r="F34" s="4"/>
      <c r="G34" s="4"/>
    </row>
    <row r="35" spans="1:12" ht="18" x14ac:dyDescent="0.2">
      <c r="A35" s="2" t="s">
        <v>37</v>
      </c>
      <c r="B35" s="5">
        <v>80528.34</v>
      </c>
      <c r="C35" s="5">
        <v>39559.980000000003</v>
      </c>
      <c r="D35" s="5">
        <v>52890.59</v>
      </c>
      <c r="E35" s="5">
        <v>70585.03</v>
      </c>
      <c r="F35" s="5">
        <v>90558.18</v>
      </c>
      <c r="G35" s="5">
        <v>141154.6</v>
      </c>
    </row>
    <row r="36" spans="1:12" ht="18" x14ac:dyDescent="0.2">
      <c r="A36" s="2" t="s">
        <v>38</v>
      </c>
      <c r="B36" s="6">
        <v>10614.17</v>
      </c>
      <c r="C36" s="6">
        <v>6370.4</v>
      </c>
      <c r="D36" s="6">
        <v>7484.63</v>
      </c>
      <c r="E36" s="6">
        <v>10604.4</v>
      </c>
      <c r="F36" s="6">
        <v>11960.55</v>
      </c>
      <c r="G36" s="6">
        <v>16644.27</v>
      </c>
      <c r="H36" s="10">
        <f>B36/$B$35</f>
        <v>0.13180664099123365</v>
      </c>
      <c r="I36" s="10">
        <f t="shared" ref="I36:L36" si="0">C36/$B$35</f>
        <v>7.9107553936912142E-2</v>
      </c>
      <c r="J36" s="10">
        <f t="shared" si="0"/>
        <v>9.2944049262657105E-2</v>
      </c>
      <c r="K36" s="10">
        <f t="shared" si="0"/>
        <v>0.131685317243594</v>
      </c>
      <c r="L36" s="10">
        <f t="shared" si="0"/>
        <v>0.1485259723471265</v>
      </c>
    </row>
    <row r="37" spans="1:12" ht="18" x14ac:dyDescent="0.2">
      <c r="A37" s="2" t="s">
        <v>39</v>
      </c>
      <c r="B37" s="6">
        <v>6423.46</v>
      </c>
      <c r="C37" s="6">
        <v>4280.33</v>
      </c>
      <c r="D37" s="6">
        <v>5233.22</v>
      </c>
      <c r="E37" s="6">
        <v>6276.26</v>
      </c>
      <c r="F37" s="6">
        <v>7145.38</v>
      </c>
      <c r="G37" s="6">
        <v>9173.1</v>
      </c>
      <c r="H37" s="10">
        <f t="shared" ref="H37:H100" si="1">B37/$B$35</f>
        <v>7.9766452406693097E-2</v>
      </c>
      <c r="I37" s="10">
        <f t="shared" ref="I37:I100" si="2">C37/$B$35</f>
        <v>5.3153088713861485E-2</v>
      </c>
      <c r="J37" s="10">
        <f t="shared" ref="J37:J100" si="3">D37/$B$35</f>
        <v>6.4986065775104768E-2</v>
      </c>
      <c r="K37" s="10">
        <f t="shared" ref="K37:K100" si="4">E37/$B$35</f>
        <v>7.7938524499573697E-2</v>
      </c>
      <c r="L37" s="10">
        <f t="shared" ref="L37:L100" si="5">F37/$B$35</f>
        <v>8.8731246664217847E-2</v>
      </c>
    </row>
    <row r="38" spans="1:12" ht="18" x14ac:dyDescent="0.2">
      <c r="A38" s="2" t="s">
        <v>40</v>
      </c>
      <c r="B38" s="4">
        <v>800.04</v>
      </c>
      <c r="C38" s="4">
        <v>530.70000000000005</v>
      </c>
      <c r="D38" s="4">
        <v>636.1</v>
      </c>
      <c r="E38" s="4">
        <v>844.08</v>
      </c>
      <c r="F38" s="4">
        <v>897.55</v>
      </c>
      <c r="G38" s="6">
        <v>1094.82</v>
      </c>
      <c r="H38" s="10">
        <f t="shared" si="1"/>
        <v>9.9348875191019714E-3</v>
      </c>
      <c r="I38" s="10">
        <f t="shared" si="2"/>
        <v>6.5902264966594378E-3</v>
      </c>
      <c r="J38" s="10">
        <f t="shared" si="3"/>
        <v>7.8990824845017304E-3</v>
      </c>
      <c r="K38" s="10">
        <f t="shared" si="4"/>
        <v>1.0481775732617859E-2</v>
      </c>
      <c r="L38" s="10">
        <f t="shared" si="5"/>
        <v>1.1145765577683583E-2</v>
      </c>
    </row>
    <row r="39" spans="1:12" ht="18" x14ac:dyDescent="0.2">
      <c r="A39" s="2" t="s">
        <v>41</v>
      </c>
      <c r="B39" s="4">
        <v>251.1</v>
      </c>
      <c r="C39" s="4">
        <v>162.07</v>
      </c>
      <c r="D39" s="4">
        <v>185.24</v>
      </c>
      <c r="E39" s="4">
        <v>259.76</v>
      </c>
      <c r="F39" s="4">
        <v>313.39999999999998</v>
      </c>
      <c r="G39" s="4">
        <v>336.98</v>
      </c>
      <c r="H39" s="10">
        <f t="shared" si="1"/>
        <v>3.1181569122125203E-3</v>
      </c>
      <c r="I39" s="10">
        <f t="shared" si="2"/>
        <v>2.0125833961062651E-3</v>
      </c>
      <c r="J39" s="10">
        <f t="shared" si="3"/>
        <v>2.3003081896385796E-3</v>
      </c>
      <c r="K39" s="10">
        <f t="shared" si="4"/>
        <v>3.2256966926177792E-3</v>
      </c>
      <c r="L39" s="10">
        <f t="shared" si="5"/>
        <v>3.8917975957284104E-3</v>
      </c>
    </row>
    <row r="40" spans="1:12" ht="18" x14ac:dyDescent="0.2">
      <c r="A40" s="2" t="s">
        <v>42</v>
      </c>
      <c r="B40" s="4">
        <v>548.95000000000005</v>
      </c>
      <c r="C40" s="4">
        <v>368.63</v>
      </c>
      <c r="D40" s="4">
        <v>450.86</v>
      </c>
      <c r="E40" s="4">
        <v>584.32000000000005</v>
      </c>
      <c r="F40" s="4">
        <v>584.16</v>
      </c>
      <c r="G40" s="4">
        <v>757.84</v>
      </c>
      <c r="H40" s="10">
        <f t="shared" si="1"/>
        <v>6.8168547867744457E-3</v>
      </c>
      <c r="I40" s="10">
        <f t="shared" si="2"/>
        <v>4.5776431005531719E-3</v>
      </c>
      <c r="J40" s="10">
        <f t="shared" si="3"/>
        <v>5.5987742948631503E-3</v>
      </c>
      <c r="K40" s="10">
        <f t="shared" si="4"/>
        <v>7.25607904000008E-3</v>
      </c>
      <c r="L40" s="10">
        <f t="shared" si="5"/>
        <v>7.2540921618401673E-3</v>
      </c>
    </row>
    <row r="41" spans="1:12" ht="18" x14ac:dyDescent="0.2">
      <c r="A41" s="2" t="s">
        <v>43</v>
      </c>
      <c r="B41" s="6">
        <v>1429.53</v>
      </c>
      <c r="C41" s="4">
        <v>923</v>
      </c>
      <c r="D41" s="6">
        <v>1168.96</v>
      </c>
      <c r="E41" s="6">
        <v>1482.21</v>
      </c>
      <c r="F41" s="6">
        <v>1573.47</v>
      </c>
      <c r="G41" s="6">
        <v>2000.82</v>
      </c>
      <c r="H41" s="10">
        <f t="shared" si="1"/>
        <v>1.7751887099622318E-2</v>
      </c>
      <c r="I41" s="10">
        <f t="shared" si="2"/>
        <v>1.146180338499465E-2</v>
      </c>
      <c r="J41" s="10">
        <f t="shared" si="3"/>
        <v>1.4516131836319985E-2</v>
      </c>
      <c r="K41" s="10">
        <f t="shared" si="4"/>
        <v>1.8406066733773478E-2</v>
      </c>
      <c r="L41" s="10">
        <f t="shared" si="5"/>
        <v>1.9539332364233511E-2</v>
      </c>
    </row>
    <row r="42" spans="1:12" ht="18" x14ac:dyDescent="0.2">
      <c r="A42" s="2" t="s">
        <v>44</v>
      </c>
      <c r="B42" s="4">
        <v>351.1</v>
      </c>
      <c r="C42" s="4">
        <v>229.2</v>
      </c>
      <c r="D42" s="4">
        <v>260.02</v>
      </c>
      <c r="E42" s="4">
        <v>403.47</v>
      </c>
      <c r="F42" s="4">
        <v>371.32</v>
      </c>
      <c r="G42" s="4">
        <v>495.02</v>
      </c>
      <c r="H42" s="10">
        <f t="shared" si="1"/>
        <v>4.3599557621577696E-3</v>
      </c>
      <c r="I42" s="10">
        <f t="shared" si="2"/>
        <v>2.8462029640745107E-3</v>
      </c>
      <c r="J42" s="10">
        <f t="shared" si="3"/>
        <v>3.2289253696276368E-3</v>
      </c>
      <c r="K42" s="10">
        <f t="shared" si="4"/>
        <v>5.0102858198740972E-3</v>
      </c>
      <c r="L42" s="10">
        <f t="shared" si="5"/>
        <v>4.6110474896166988E-3</v>
      </c>
    </row>
    <row r="43" spans="1:12" ht="18" x14ac:dyDescent="0.2">
      <c r="A43" s="2" t="s">
        <v>45</v>
      </c>
      <c r="B43" s="4">
        <v>282.52</v>
      </c>
      <c r="C43" s="4">
        <v>134.94999999999999</v>
      </c>
      <c r="D43" s="4">
        <v>263.88</v>
      </c>
      <c r="E43" s="4">
        <v>284.47000000000003</v>
      </c>
      <c r="F43" s="4">
        <v>299.91000000000003</v>
      </c>
      <c r="G43" s="4">
        <v>423.94</v>
      </c>
      <c r="H43" s="10">
        <f t="shared" si="1"/>
        <v>3.5083301108653178E-3</v>
      </c>
      <c r="I43" s="10">
        <f t="shared" si="2"/>
        <v>1.6758075480011135E-3</v>
      </c>
      <c r="J43" s="10">
        <f t="shared" si="3"/>
        <v>3.2768588052355233E-3</v>
      </c>
      <c r="K43" s="10">
        <f t="shared" si="4"/>
        <v>3.5325451884392505E-3</v>
      </c>
      <c r="L43" s="10">
        <f t="shared" si="5"/>
        <v>3.7242789308707968E-3</v>
      </c>
    </row>
    <row r="44" spans="1:12" ht="18" x14ac:dyDescent="0.2">
      <c r="A44" s="2" t="s">
        <v>46</v>
      </c>
      <c r="B44" s="4">
        <v>168.1</v>
      </c>
      <c r="C44" s="4">
        <v>103.77</v>
      </c>
      <c r="D44" s="4">
        <v>134</v>
      </c>
      <c r="E44" s="4">
        <v>153.58000000000001</v>
      </c>
      <c r="F44" s="4">
        <v>212.16</v>
      </c>
      <c r="G44" s="4">
        <v>236.81</v>
      </c>
      <c r="H44" s="10">
        <f t="shared" si="1"/>
        <v>2.0874638667579639E-3</v>
      </c>
      <c r="I44" s="10">
        <f t="shared" si="2"/>
        <v>1.288614666588185E-3</v>
      </c>
      <c r="J44" s="10">
        <f t="shared" si="3"/>
        <v>1.6640104589266339E-3</v>
      </c>
      <c r="K44" s="10">
        <f t="shared" si="4"/>
        <v>1.9071546737459138E-3</v>
      </c>
      <c r="L44" s="10">
        <f t="shared" si="5"/>
        <v>2.6346004400438407E-3</v>
      </c>
    </row>
    <row r="45" spans="1:12" ht="18" x14ac:dyDescent="0.2">
      <c r="A45" s="2" t="s">
        <v>47</v>
      </c>
      <c r="B45" s="4">
        <v>273.7</v>
      </c>
      <c r="C45" s="4">
        <v>189.37</v>
      </c>
      <c r="D45" s="4">
        <v>217.43</v>
      </c>
      <c r="E45" s="4">
        <v>297.23</v>
      </c>
      <c r="F45" s="4">
        <v>317.95999999999998</v>
      </c>
      <c r="G45" s="4">
        <v>348.02</v>
      </c>
      <c r="H45" s="10">
        <f t="shared" si="1"/>
        <v>3.3988034523001467E-3</v>
      </c>
      <c r="I45" s="10">
        <f t="shared" si="2"/>
        <v>2.3515944821413184E-3</v>
      </c>
      <c r="J45" s="10">
        <f t="shared" si="3"/>
        <v>2.7000432394359555E-3</v>
      </c>
      <c r="K45" s="10">
        <f t="shared" si="4"/>
        <v>3.6909987216922641E-3</v>
      </c>
      <c r="L45" s="10">
        <f t="shared" si="5"/>
        <v>3.9484236232859137E-3</v>
      </c>
    </row>
    <row r="46" spans="1:12" ht="18" x14ac:dyDescent="0.2">
      <c r="A46" s="2" t="s">
        <v>48</v>
      </c>
      <c r="B46" s="4">
        <v>245.33</v>
      </c>
      <c r="C46" s="4">
        <v>179.13</v>
      </c>
      <c r="D46" s="4">
        <v>210.77</v>
      </c>
      <c r="E46" s="4">
        <v>233.21</v>
      </c>
      <c r="F46" s="4">
        <v>248.18</v>
      </c>
      <c r="G46" s="4">
        <v>355.35</v>
      </c>
      <c r="H46" s="10">
        <f t="shared" si="1"/>
        <v>3.0465051185706799E-3</v>
      </c>
      <c r="I46" s="10">
        <f t="shared" si="2"/>
        <v>2.2244342799069249E-3</v>
      </c>
      <c r="J46" s="10">
        <f t="shared" si="3"/>
        <v>2.617339436029602E-3</v>
      </c>
      <c r="K46" s="10">
        <f t="shared" si="4"/>
        <v>2.8959990979573157E-3</v>
      </c>
      <c r="L46" s="10">
        <f t="shared" si="5"/>
        <v>3.0818963857941195E-3</v>
      </c>
    </row>
    <row r="47" spans="1:12" ht="18" x14ac:dyDescent="0.2">
      <c r="A47" s="2" t="s">
        <v>49</v>
      </c>
      <c r="B47" s="4">
        <v>108.77</v>
      </c>
      <c r="C47" s="4">
        <v>86.58</v>
      </c>
      <c r="D47" s="4">
        <v>82.85</v>
      </c>
      <c r="E47" s="4">
        <v>110.23</v>
      </c>
      <c r="F47" s="4">
        <v>123.94</v>
      </c>
      <c r="G47" s="4">
        <v>141.68</v>
      </c>
      <c r="H47" s="10">
        <f t="shared" si="1"/>
        <v>1.3507046090854475E-3</v>
      </c>
      <c r="I47" s="10">
        <f t="shared" si="2"/>
        <v>1.0751494442825967E-3</v>
      </c>
      <c r="J47" s="10">
        <f t="shared" si="3"/>
        <v>1.0288303471796389E-3</v>
      </c>
      <c r="K47" s="10">
        <f t="shared" si="4"/>
        <v>1.3688348722946482E-3</v>
      </c>
      <c r="L47" s="10">
        <f t="shared" si="5"/>
        <v>1.5390854946221418E-3</v>
      </c>
    </row>
    <row r="48" spans="1:12" ht="18" x14ac:dyDescent="0.2">
      <c r="A48" s="2" t="s">
        <v>50</v>
      </c>
      <c r="B48" s="4">
        <v>600.4</v>
      </c>
      <c r="C48" s="4">
        <v>455.04</v>
      </c>
      <c r="D48" s="4">
        <v>531.65</v>
      </c>
      <c r="E48" s="4">
        <v>553.95000000000005</v>
      </c>
      <c r="F48" s="4">
        <v>624.41</v>
      </c>
      <c r="G48" s="4">
        <v>835.92</v>
      </c>
      <c r="H48" s="10">
        <f t="shared" si="1"/>
        <v>7.4557602950712752E-3</v>
      </c>
      <c r="I48" s="10">
        <f t="shared" si="2"/>
        <v>5.6506814867908622E-3</v>
      </c>
      <c r="J48" s="10">
        <f t="shared" si="3"/>
        <v>6.6020235857339165E-3</v>
      </c>
      <c r="K48" s="10">
        <f t="shared" si="4"/>
        <v>6.8789447292717078E-3</v>
      </c>
      <c r="L48" s="10">
        <f t="shared" si="5"/>
        <v>7.7539161989431298E-3</v>
      </c>
    </row>
    <row r="49" spans="1:12" ht="18" x14ac:dyDescent="0.2">
      <c r="A49" s="2" t="s">
        <v>51</v>
      </c>
      <c r="B49" s="4">
        <v>209.82</v>
      </c>
      <c r="C49" s="4">
        <v>145.19</v>
      </c>
      <c r="D49" s="4">
        <v>209.66</v>
      </c>
      <c r="E49" s="4">
        <v>178.21</v>
      </c>
      <c r="F49" s="4">
        <v>210.3</v>
      </c>
      <c r="G49" s="4">
        <v>302.18</v>
      </c>
      <c r="H49" s="10">
        <f t="shared" si="1"/>
        <v>2.6055423469551215E-3</v>
      </c>
      <c r="I49" s="10">
        <f t="shared" si="2"/>
        <v>1.8029677502355071E-3</v>
      </c>
      <c r="J49" s="10">
        <f t="shared" si="3"/>
        <v>2.6035554687952093E-3</v>
      </c>
      <c r="K49" s="10">
        <f t="shared" si="4"/>
        <v>2.2130097304874285E-3</v>
      </c>
      <c r="L49" s="10">
        <f t="shared" si="5"/>
        <v>2.6115029814348591E-3</v>
      </c>
    </row>
    <row r="50" spans="1:12" ht="18" x14ac:dyDescent="0.2">
      <c r="A50" s="2" t="s">
        <v>52</v>
      </c>
      <c r="B50" s="4">
        <v>390.58</v>
      </c>
      <c r="C50" s="4">
        <v>309.85000000000002</v>
      </c>
      <c r="D50" s="4">
        <v>321.99</v>
      </c>
      <c r="E50" s="4">
        <v>375.74</v>
      </c>
      <c r="F50" s="4">
        <v>414.11</v>
      </c>
      <c r="G50" s="4">
        <v>533.74</v>
      </c>
      <c r="H50" s="10">
        <f t="shared" si="1"/>
        <v>4.8502179481161537E-3</v>
      </c>
      <c r="I50" s="10">
        <f t="shared" si="2"/>
        <v>3.8477137365553549E-3</v>
      </c>
      <c r="J50" s="10">
        <f t="shared" si="3"/>
        <v>3.9984681169387077E-3</v>
      </c>
      <c r="K50" s="10">
        <f t="shared" si="4"/>
        <v>4.6659349987842793E-3</v>
      </c>
      <c r="L50" s="10">
        <f t="shared" si="5"/>
        <v>5.1424132175082711E-3</v>
      </c>
    </row>
    <row r="51" spans="1:12" ht="18" x14ac:dyDescent="0.2">
      <c r="A51" s="2" t="s">
        <v>53</v>
      </c>
      <c r="B51" s="6">
        <v>1373.38</v>
      </c>
      <c r="C51" s="4">
        <v>905.77</v>
      </c>
      <c r="D51" s="6">
        <v>1171.51</v>
      </c>
      <c r="E51" s="6">
        <v>1256.17</v>
      </c>
      <c r="F51" s="6">
        <v>1543.78</v>
      </c>
      <c r="G51" s="6">
        <v>1984.43</v>
      </c>
      <c r="H51" s="10">
        <f t="shared" si="1"/>
        <v>1.7054617045378064E-2</v>
      </c>
      <c r="I51" s="10">
        <f t="shared" si="2"/>
        <v>1.1247841443149083E-2</v>
      </c>
      <c r="J51" s="10">
        <f t="shared" si="3"/>
        <v>1.4547797706993588E-2</v>
      </c>
      <c r="K51" s="10">
        <f t="shared" si="4"/>
        <v>1.5599104613357237E-2</v>
      </c>
      <c r="L51" s="10">
        <f t="shared" si="5"/>
        <v>1.9170642285684766E-2</v>
      </c>
    </row>
    <row r="52" spans="1:12" ht="18" x14ac:dyDescent="0.2">
      <c r="A52" s="2" t="s">
        <v>54</v>
      </c>
      <c r="B52" s="4">
        <v>542.04999999999995</v>
      </c>
      <c r="C52" s="4">
        <v>346.28</v>
      </c>
      <c r="D52" s="4">
        <v>456.53</v>
      </c>
      <c r="E52" s="4">
        <v>481.53</v>
      </c>
      <c r="F52" s="4">
        <v>605.03</v>
      </c>
      <c r="G52" s="4">
        <v>818.68</v>
      </c>
      <c r="H52" s="10">
        <f t="shared" si="1"/>
        <v>6.7311706661282228E-3</v>
      </c>
      <c r="I52" s="10">
        <f t="shared" si="2"/>
        <v>4.3001010575904088E-3</v>
      </c>
      <c r="J52" s="10">
        <f t="shared" si="3"/>
        <v>5.6691842896550455E-3</v>
      </c>
      <c r="K52" s="10">
        <f t="shared" si="4"/>
        <v>5.9796340021413576E-3</v>
      </c>
      <c r="L52" s="10">
        <f t="shared" si="5"/>
        <v>7.5132555818237402E-3</v>
      </c>
    </row>
    <row r="53" spans="1:12" ht="18" x14ac:dyDescent="0.2">
      <c r="A53" s="2" t="s">
        <v>55</v>
      </c>
      <c r="B53" s="4">
        <v>476.57</v>
      </c>
      <c r="C53" s="4">
        <v>322.32</v>
      </c>
      <c r="D53" s="4">
        <v>444.54</v>
      </c>
      <c r="E53" s="4">
        <v>449.76</v>
      </c>
      <c r="F53" s="4">
        <v>524.9</v>
      </c>
      <c r="G53" s="4">
        <v>636.35</v>
      </c>
      <c r="H53" s="10">
        <f t="shared" si="1"/>
        <v>5.9180407791840734E-3</v>
      </c>
      <c r="I53" s="10">
        <f t="shared" si="2"/>
        <v>4.0025660531435268E-3</v>
      </c>
      <c r="J53" s="10">
        <f t="shared" si="3"/>
        <v>5.5202926075466107E-3</v>
      </c>
      <c r="K53" s="10">
        <f t="shared" si="4"/>
        <v>5.5851145075137528E-3</v>
      </c>
      <c r="L53" s="10">
        <f t="shared" si="5"/>
        <v>6.5182021633626124E-3</v>
      </c>
    </row>
    <row r="54" spans="1:12" ht="18" x14ac:dyDescent="0.2">
      <c r="A54" s="2" t="s">
        <v>56</v>
      </c>
      <c r="B54" s="4">
        <v>156.16999999999999</v>
      </c>
      <c r="C54" s="4">
        <v>112.73</v>
      </c>
      <c r="D54" s="4">
        <v>125.08</v>
      </c>
      <c r="E54" s="4">
        <v>149.58000000000001</v>
      </c>
      <c r="F54" s="4">
        <v>170.01</v>
      </c>
      <c r="G54" s="4">
        <v>224.27</v>
      </c>
      <c r="H54" s="10">
        <f t="shared" si="1"/>
        <v>1.9393172639594954E-3</v>
      </c>
      <c r="I54" s="10">
        <f t="shared" si="2"/>
        <v>1.3998798435432794E-3</v>
      </c>
      <c r="J54" s="10">
        <f t="shared" si="3"/>
        <v>1.5532420015115175E-3</v>
      </c>
      <c r="K54" s="10">
        <f t="shared" si="4"/>
        <v>1.8574827197481039E-3</v>
      </c>
      <c r="L54" s="10">
        <f t="shared" si="5"/>
        <v>2.1111822247919178E-3</v>
      </c>
    </row>
    <row r="55" spans="1:12" ht="18" x14ac:dyDescent="0.2">
      <c r="A55" s="2" t="s">
        <v>57</v>
      </c>
      <c r="B55" s="4">
        <v>198.59</v>
      </c>
      <c r="C55" s="4">
        <v>124.44</v>
      </c>
      <c r="D55" s="4">
        <v>145.36000000000001</v>
      </c>
      <c r="E55" s="4">
        <v>175.31</v>
      </c>
      <c r="F55" s="4">
        <v>243.84</v>
      </c>
      <c r="G55" s="4">
        <v>305.12</v>
      </c>
      <c r="H55" s="10">
        <f t="shared" si="1"/>
        <v>2.4660883361062704E-3</v>
      </c>
      <c r="I55" s="10">
        <f t="shared" si="2"/>
        <v>1.5452944888718679E-3</v>
      </c>
      <c r="J55" s="10">
        <f t="shared" si="3"/>
        <v>1.8050788082804143E-3</v>
      </c>
      <c r="K55" s="10">
        <f t="shared" si="4"/>
        <v>2.1769975638390162E-3</v>
      </c>
      <c r="L55" s="10">
        <f t="shared" si="5"/>
        <v>3.0280023157064954E-3</v>
      </c>
    </row>
    <row r="56" spans="1:12" ht="18" x14ac:dyDescent="0.2">
      <c r="A56" s="2" t="s">
        <v>59</v>
      </c>
      <c r="B56" s="6">
        <v>2220.12</v>
      </c>
      <c r="C56" s="6">
        <v>1465.81</v>
      </c>
      <c r="D56" s="6">
        <v>1725</v>
      </c>
      <c r="E56" s="6">
        <v>2139.85</v>
      </c>
      <c r="F56" s="6">
        <v>2506.17</v>
      </c>
      <c r="G56" s="6">
        <v>3257.11</v>
      </c>
      <c r="H56" s="10">
        <f t="shared" si="1"/>
        <v>2.7569424627404464E-2</v>
      </c>
      <c r="I56" s="10">
        <f t="shared" si="2"/>
        <v>1.8202411722382454E-2</v>
      </c>
      <c r="J56" s="10">
        <f t="shared" si="3"/>
        <v>2.1421030161555547E-2</v>
      </c>
      <c r="K56" s="10">
        <f t="shared" si="4"/>
        <v>2.6572632690553412E-2</v>
      </c>
      <c r="L56" s="10">
        <f t="shared" si="5"/>
        <v>3.1121590237672851E-2</v>
      </c>
    </row>
    <row r="57" spans="1:12" ht="18" x14ac:dyDescent="0.2">
      <c r="A57" s="2" t="s">
        <v>60</v>
      </c>
      <c r="B57" s="4">
        <v>179.05</v>
      </c>
      <c r="C57" s="4">
        <v>153.63</v>
      </c>
      <c r="D57" s="4">
        <v>141.87</v>
      </c>
      <c r="E57" s="4">
        <v>152.26</v>
      </c>
      <c r="F57" s="4">
        <v>188.03</v>
      </c>
      <c r="G57" s="4">
        <v>261.52</v>
      </c>
      <c r="H57" s="10">
        <f t="shared" si="1"/>
        <v>2.2234408408269685E-3</v>
      </c>
      <c r="I57" s="10">
        <f t="shared" si="2"/>
        <v>1.9077755731708862E-3</v>
      </c>
      <c r="J57" s="10">
        <f t="shared" si="3"/>
        <v>1.7617400284173251E-3</v>
      </c>
      <c r="K57" s="10">
        <f t="shared" si="4"/>
        <v>1.8907629289266362E-3</v>
      </c>
      <c r="L57" s="10">
        <f t="shared" si="5"/>
        <v>2.3349543775520519E-3</v>
      </c>
    </row>
    <row r="58" spans="1:12" ht="18" x14ac:dyDescent="0.2">
      <c r="A58" s="2" t="s">
        <v>61</v>
      </c>
      <c r="B58" s="4">
        <v>156.34</v>
      </c>
      <c r="C58" s="4">
        <v>118.22</v>
      </c>
      <c r="D58" s="4">
        <v>133.80000000000001</v>
      </c>
      <c r="E58" s="4">
        <v>140.59</v>
      </c>
      <c r="F58" s="4">
        <v>173.91</v>
      </c>
      <c r="G58" s="4">
        <v>215.26</v>
      </c>
      <c r="H58" s="10">
        <f t="shared" si="1"/>
        <v>1.9414283220044026E-3</v>
      </c>
      <c r="I58" s="10">
        <f t="shared" si="2"/>
        <v>1.4680546004052736E-3</v>
      </c>
      <c r="J58" s="10">
        <f t="shared" si="3"/>
        <v>1.6615268612267435E-3</v>
      </c>
      <c r="K58" s="10">
        <f t="shared" si="4"/>
        <v>1.7458450031380259E-3</v>
      </c>
      <c r="L58" s="10">
        <f t="shared" si="5"/>
        <v>2.1596123799397828E-3</v>
      </c>
    </row>
    <row r="59" spans="1:12" ht="18" x14ac:dyDescent="0.2">
      <c r="A59" s="2" t="s">
        <v>62</v>
      </c>
      <c r="B59" s="6">
        <v>1207.52</v>
      </c>
      <c r="C59" s="4">
        <v>775.92</v>
      </c>
      <c r="D59" s="4">
        <v>903.72</v>
      </c>
      <c r="E59" s="6">
        <v>1204.05</v>
      </c>
      <c r="F59" s="6">
        <v>1411.1</v>
      </c>
      <c r="G59" s="6">
        <v>1750.66</v>
      </c>
      <c r="H59" s="10">
        <f t="shared" si="1"/>
        <v>1.4994969472858872E-2</v>
      </c>
      <c r="I59" s="10">
        <f t="shared" si="2"/>
        <v>9.6353656364951759E-3</v>
      </c>
      <c r="J59" s="10">
        <f t="shared" si="3"/>
        <v>1.1222384566725205E-2</v>
      </c>
      <c r="K59" s="10">
        <f t="shared" si="4"/>
        <v>1.4951879052765772E-2</v>
      </c>
      <c r="L59" s="10">
        <f t="shared" si="5"/>
        <v>1.7523023571577409E-2</v>
      </c>
    </row>
    <row r="60" spans="1:12" ht="18" x14ac:dyDescent="0.2">
      <c r="A60" s="2" t="s">
        <v>63</v>
      </c>
      <c r="B60" s="4">
        <v>589.44000000000005</v>
      </c>
      <c r="C60" s="4">
        <v>396.12</v>
      </c>
      <c r="D60" s="4">
        <v>498.72</v>
      </c>
      <c r="E60" s="4">
        <v>569.64</v>
      </c>
      <c r="F60" s="4">
        <v>607.89</v>
      </c>
      <c r="G60" s="4">
        <v>873.96</v>
      </c>
      <c r="H60" s="10">
        <f t="shared" si="1"/>
        <v>7.3196591411172776E-3</v>
      </c>
      <c r="I60" s="10">
        <f t="shared" si="2"/>
        <v>4.9190136044031212E-3</v>
      </c>
      <c r="J60" s="10">
        <f t="shared" si="3"/>
        <v>6.1930992244469468E-3</v>
      </c>
      <c r="K60" s="10">
        <f t="shared" si="4"/>
        <v>7.0737829688281174E-3</v>
      </c>
      <c r="L60" s="10">
        <f t="shared" si="5"/>
        <v>7.5487710289321745E-3</v>
      </c>
    </row>
    <row r="61" spans="1:12" ht="18" x14ac:dyDescent="0.2">
      <c r="A61" s="2" t="s">
        <v>64</v>
      </c>
      <c r="B61" s="4">
        <v>87.77</v>
      </c>
      <c r="C61" s="4">
        <v>21.92</v>
      </c>
      <c r="D61" s="4">
        <v>46.89</v>
      </c>
      <c r="E61" s="4">
        <v>73.31</v>
      </c>
      <c r="F61" s="4">
        <v>125.25</v>
      </c>
      <c r="G61" s="4">
        <v>155.69999999999999</v>
      </c>
      <c r="H61" s="10">
        <f t="shared" si="1"/>
        <v>1.0899268505969451E-3</v>
      </c>
      <c r="I61" s="10">
        <f t="shared" si="2"/>
        <v>2.7220230790799861E-4</v>
      </c>
      <c r="J61" s="10">
        <f t="shared" si="3"/>
        <v>5.8227948073932736E-4</v>
      </c>
      <c r="K61" s="10">
        <f t="shared" si="4"/>
        <v>9.1036273689486214E-4</v>
      </c>
      <c r="L61" s="10">
        <f t="shared" si="5"/>
        <v>1.5553530595564244E-3</v>
      </c>
    </row>
    <row r="62" spans="1:12" ht="18" x14ac:dyDescent="0.2">
      <c r="A62" s="2" t="s">
        <v>65</v>
      </c>
      <c r="B62" s="6">
        <v>4190.71</v>
      </c>
      <c r="C62" s="6">
        <v>2090.06</v>
      </c>
      <c r="D62" s="6">
        <v>2251.41</v>
      </c>
      <c r="E62" s="6">
        <v>4328.1499999999996</v>
      </c>
      <c r="F62" s="6">
        <v>4815.16</v>
      </c>
      <c r="G62" s="6">
        <v>7471.16</v>
      </c>
      <c r="H62" s="10">
        <f t="shared" si="1"/>
        <v>5.2040188584540549E-2</v>
      </c>
      <c r="I62" s="10">
        <f t="shared" si="2"/>
        <v>2.5954341043165675E-2</v>
      </c>
      <c r="J62" s="10">
        <f t="shared" si="3"/>
        <v>2.7957983487552331E-2</v>
      </c>
      <c r="K62" s="10">
        <f t="shared" si="4"/>
        <v>5.3746916923905298E-2</v>
      </c>
      <c r="L62" s="10">
        <f t="shared" si="5"/>
        <v>5.979460150302366E-2</v>
      </c>
    </row>
    <row r="63" spans="1:12" ht="18" x14ac:dyDescent="0.2">
      <c r="A63" s="1"/>
      <c r="B63" s="4"/>
      <c r="C63" s="4"/>
      <c r="D63" s="4"/>
      <c r="E63" s="4"/>
      <c r="F63" s="4"/>
      <c r="G63" s="4"/>
      <c r="H63" s="10">
        <f t="shared" si="1"/>
        <v>0</v>
      </c>
      <c r="I63" s="10">
        <f t="shared" si="2"/>
        <v>0</v>
      </c>
      <c r="J63" s="10">
        <f t="shared" si="3"/>
        <v>0</v>
      </c>
      <c r="K63" s="10">
        <f t="shared" si="4"/>
        <v>0</v>
      </c>
      <c r="L63" s="10">
        <f t="shared" si="5"/>
        <v>0</v>
      </c>
    </row>
    <row r="64" spans="1:12" ht="18" x14ac:dyDescent="0.2">
      <c r="A64" s="2" t="s">
        <v>66</v>
      </c>
      <c r="B64" s="4">
        <v>757</v>
      </c>
      <c r="C64" s="4">
        <v>274.23</v>
      </c>
      <c r="D64" s="4">
        <v>362.07</v>
      </c>
      <c r="E64" s="4">
        <v>714.58</v>
      </c>
      <c r="F64" s="4">
        <v>791.44</v>
      </c>
      <c r="G64" s="4">
        <v>1613.94</v>
      </c>
      <c r="H64" s="10">
        <f t="shared" si="1"/>
        <v>9.4004172940855366E-3</v>
      </c>
      <c r="I64" s="10">
        <f t="shared" si="2"/>
        <v>3.4053849862048569E-3</v>
      </c>
      <c r="J64" s="10">
        <f t="shared" si="3"/>
        <v>4.4961810959967636E-3</v>
      </c>
      <c r="K64" s="10">
        <f t="shared" si="4"/>
        <v>8.8736462219387614E-3</v>
      </c>
      <c r="L64" s="10">
        <f t="shared" si="5"/>
        <v>9.8280928180066798E-3</v>
      </c>
    </row>
    <row r="65" spans="1:12" ht="18" x14ac:dyDescent="0.2">
      <c r="A65" s="1"/>
      <c r="B65" s="4"/>
      <c r="C65" s="4"/>
      <c r="D65" s="4"/>
      <c r="E65" s="4"/>
      <c r="F65" s="4"/>
      <c r="G65" s="4"/>
      <c r="H65" s="10">
        <f t="shared" si="1"/>
        <v>0</v>
      </c>
      <c r="I65" s="10">
        <f t="shared" si="2"/>
        <v>0</v>
      </c>
      <c r="J65" s="10">
        <f t="shared" si="3"/>
        <v>0</v>
      </c>
      <c r="K65" s="10">
        <f t="shared" si="4"/>
        <v>0</v>
      </c>
      <c r="L65" s="10">
        <f t="shared" si="5"/>
        <v>0</v>
      </c>
    </row>
    <row r="66" spans="1:12" ht="18" x14ac:dyDescent="0.2">
      <c r="A66" s="2" t="s">
        <v>67</v>
      </c>
      <c r="B66" s="6">
        <v>30362.05</v>
      </c>
      <c r="C66" s="6">
        <v>17471.97</v>
      </c>
      <c r="D66" s="6">
        <v>22495.54</v>
      </c>
      <c r="E66" s="6">
        <v>27584.48</v>
      </c>
      <c r="F66" s="6">
        <v>32322.66</v>
      </c>
      <c r="G66" s="6">
        <v>49200.03</v>
      </c>
      <c r="H66" s="10">
        <f t="shared" si="1"/>
        <v>0.3770355877198015</v>
      </c>
      <c r="I66" s="10">
        <f t="shared" si="2"/>
        <v>0.21696672252277896</v>
      </c>
      <c r="J66" s="10">
        <f t="shared" si="3"/>
        <v>0.27934935700897351</v>
      </c>
      <c r="K66" s="10">
        <f t="shared" si="4"/>
        <v>0.34254375540337728</v>
      </c>
      <c r="L66" s="10">
        <f t="shared" si="5"/>
        <v>0.40138242015171305</v>
      </c>
    </row>
    <row r="67" spans="1:12" ht="18" x14ac:dyDescent="0.2">
      <c r="A67" s="2" t="s">
        <v>68</v>
      </c>
      <c r="B67" s="6">
        <v>19835.45</v>
      </c>
      <c r="C67" s="6">
        <v>12032.45</v>
      </c>
      <c r="D67" s="6">
        <v>14888.55</v>
      </c>
      <c r="E67" s="6">
        <v>18414.57</v>
      </c>
      <c r="F67" s="6">
        <v>20875.240000000002</v>
      </c>
      <c r="G67" s="6">
        <v>31169.23</v>
      </c>
      <c r="H67" s="10">
        <f t="shared" si="1"/>
        <v>0.24631638998146493</v>
      </c>
      <c r="I67" s="10">
        <f t="shared" si="2"/>
        <v>0.14941882572023715</v>
      </c>
      <c r="J67" s="10">
        <f t="shared" si="3"/>
        <v>0.18488584267352337</v>
      </c>
      <c r="K67" s="10">
        <f t="shared" si="4"/>
        <v>0.22867191848236287</v>
      </c>
      <c r="L67" s="10">
        <f t="shared" si="5"/>
        <v>0.25922849024331063</v>
      </c>
    </row>
    <row r="68" spans="1:12" ht="18" x14ac:dyDescent="0.2">
      <c r="A68" s="2" t="s">
        <v>69</v>
      </c>
      <c r="B68" s="6">
        <v>9519.09</v>
      </c>
      <c r="C68" s="6">
        <v>2859.69</v>
      </c>
      <c r="D68" s="6">
        <v>5117.4799999999996</v>
      </c>
      <c r="E68" s="6">
        <v>6372.97</v>
      </c>
      <c r="F68" s="6">
        <v>10931.03</v>
      </c>
      <c r="G68" s="6">
        <v>20820.080000000002</v>
      </c>
      <c r="H68" s="10">
        <f t="shared" si="1"/>
        <v>0.11820795014525322</v>
      </c>
      <c r="I68" s="10">
        <f t="shared" si="2"/>
        <v>3.5511597531999298E-2</v>
      </c>
      <c r="J68" s="10">
        <f t="shared" si="3"/>
        <v>6.3548807786178135E-2</v>
      </c>
      <c r="K68" s="10">
        <f t="shared" si="4"/>
        <v>7.9139468167355745E-2</v>
      </c>
      <c r="L68" s="10">
        <f t="shared" si="5"/>
        <v>0.13574140482717018</v>
      </c>
    </row>
    <row r="69" spans="1:12" ht="18" x14ac:dyDescent="0.2">
      <c r="A69" s="2" t="s">
        <v>70</v>
      </c>
      <c r="B69" s="6">
        <v>4238.8599999999997</v>
      </c>
      <c r="C69" s="4">
        <v>773.61</v>
      </c>
      <c r="D69" s="6">
        <v>1656.84</v>
      </c>
      <c r="E69" s="6">
        <v>2744.08</v>
      </c>
      <c r="F69" s="6">
        <v>4843.18</v>
      </c>
      <c r="G69" s="6">
        <v>10361.16</v>
      </c>
      <c r="H69" s="10">
        <f t="shared" si="1"/>
        <v>5.2638114730789186E-2</v>
      </c>
      <c r="I69" s="10">
        <f t="shared" si="2"/>
        <v>9.6066800830614425E-3</v>
      </c>
      <c r="J69" s="10">
        <f t="shared" si="3"/>
        <v>2.0574620065432866E-2</v>
      </c>
      <c r="K69" s="10">
        <f t="shared" si="4"/>
        <v>3.4075953881577595E-2</v>
      </c>
      <c r="L69" s="10">
        <f t="shared" si="5"/>
        <v>6.0142553540778319E-2</v>
      </c>
    </row>
    <row r="70" spans="1:12" ht="18" x14ac:dyDescent="0.2">
      <c r="A70" s="2" t="s">
        <v>71</v>
      </c>
      <c r="B70" s="6">
        <v>2867.4</v>
      </c>
      <c r="C70" s="6">
        <v>1043.3900000000001</v>
      </c>
      <c r="D70" s="6">
        <v>1532.24</v>
      </c>
      <c r="E70" s="6">
        <v>1837.68</v>
      </c>
      <c r="F70" s="6">
        <v>3122.01</v>
      </c>
      <c r="G70" s="6">
        <v>6386.78</v>
      </c>
      <c r="H70" s="10">
        <f t="shared" si="1"/>
        <v>3.5607340223330078E-2</v>
      </c>
      <c r="I70" s="10">
        <f t="shared" si="2"/>
        <v>1.2956805020443737E-2</v>
      </c>
      <c r="J70" s="10">
        <f t="shared" si="3"/>
        <v>1.9027338698401085E-2</v>
      </c>
      <c r="K70" s="10">
        <f t="shared" si="4"/>
        <v>2.2820289105673856E-2</v>
      </c>
      <c r="L70" s="10">
        <f t="shared" si="5"/>
        <v>3.8769084275175676E-2</v>
      </c>
    </row>
    <row r="71" spans="1:12" ht="18" x14ac:dyDescent="0.2">
      <c r="A71" s="2" t="s">
        <v>72</v>
      </c>
      <c r="B71" s="6">
        <v>2412.83</v>
      </c>
      <c r="C71" s="6">
        <v>1042.7</v>
      </c>
      <c r="D71" s="6">
        <v>1928.4</v>
      </c>
      <c r="E71" s="6">
        <v>1791.21</v>
      </c>
      <c r="F71" s="6">
        <v>2965.83</v>
      </c>
      <c r="G71" s="6">
        <v>4072.15</v>
      </c>
      <c r="H71" s="10">
        <f t="shared" si="1"/>
        <v>2.9962495191133955E-2</v>
      </c>
      <c r="I71" s="10">
        <f t="shared" si="2"/>
        <v>1.2948236608379113E-2</v>
      </c>
      <c r="J71" s="10">
        <f t="shared" si="3"/>
        <v>2.3946849022344185E-2</v>
      </c>
      <c r="K71" s="10">
        <f t="shared" si="4"/>
        <v>2.2243225180104298E-2</v>
      </c>
      <c r="L71" s="10">
        <f t="shared" si="5"/>
        <v>3.682964283133118E-2</v>
      </c>
    </row>
    <row r="72" spans="1:12" ht="18" x14ac:dyDescent="0.2">
      <c r="A72" s="2" t="s">
        <v>73</v>
      </c>
      <c r="B72" s="6">
        <v>8959.66</v>
      </c>
      <c r="C72" s="6">
        <v>8467.5400000000009</v>
      </c>
      <c r="D72" s="6">
        <v>9109.5499999999993</v>
      </c>
      <c r="E72" s="6">
        <v>11197.18</v>
      </c>
      <c r="F72" s="6">
        <v>8620.32</v>
      </c>
      <c r="G72" s="6">
        <v>7266.64</v>
      </c>
      <c r="H72" s="10">
        <f t="shared" si="1"/>
        <v>0.11126095483900451</v>
      </c>
      <c r="I72" s="10">
        <f t="shared" si="2"/>
        <v>0.10514981433865396</v>
      </c>
      <c r="J72" s="10">
        <f t="shared" si="3"/>
        <v>0.11312228713518743</v>
      </c>
      <c r="K72" s="10">
        <f t="shared" si="4"/>
        <v>0.13904645246629946</v>
      </c>
      <c r="L72" s="10">
        <f t="shared" si="5"/>
        <v>0.1070470346216003</v>
      </c>
    </row>
    <row r="73" spans="1:12" ht="18" x14ac:dyDescent="0.2">
      <c r="A73" s="2" t="s">
        <v>74</v>
      </c>
      <c r="B73" s="6">
        <v>1356.7</v>
      </c>
      <c r="C73" s="4">
        <v>705.22</v>
      </c>
      <c r="D73" s="4">
        <v>661.53</v>
      </c>
      <c r="E73" s="4">
        <v>844.41</v>
      </c>
      <c r="F73" s="6">
        <v>1323.89</v>
      </c>
      <c r="G73" s="6">
        <v>3082.51</v>
      </c>
      <c r="H73" s="10">
        <f t="shared" si="1"/>
        <v>1.6847484997207195E-2</v>
      </c>
      <c r="I73" s="10">
        <f t="shared" si="2"/>
        <v>8.7574138495838862E-3</v>
      </c>
      <c r="J73" s="10">
        <f t="shared" si="3"/>
        <v>8.2148719320428061E-3</v>
      </c>
      <c r="K73" s="10">
        <f t="shared" si="4"/>
        <v>1.0485873668822678E-2</v>
      </c>
      <c r="L73" s="10">
        <f t="shared" si="5"/>
        <v>1.6440050794540161E-2</v>
      </c>
    </row>
    <row r="74" spans="1:12" ht="18" x14ac:dyDescent="0.2">
      <c r="A74" s="2" t="s">
        <v>75</v>
      </c>
      <c r="B74" s="6">
        <v>4578.3500000000004</v>
      </c>
      <c r="C74" s="6">
        <v>2561.5300000000002</v>
      </c>
      <c r="D74" s="6">
        <v>3812.39</v>
      </c>
      <c r="E74" s="6">
        <v>4392.4399999999996</v>
      </c>
      <c r="F74" s="6">
        <v>5254.73</v>
      </c>
      <c r="G74" s="6">
        <v>6450.73</v>
      </c>
      <c r="H74" s="10">
        <f t="shared" si="1"/>
        <v>5.6853897646468317E-2</v>
      </c>
      <c r="I74" s="10">
        <f t="shared" si="2"/>
        <v>3.1809050081002543E-2</v>
      </c>
      <c r="J74" s="10">
        <f t="shared" si="3"/>
        <v>4.7342215175427679E-2</v>
      </c>
      <c r="K74" s="10">
        <f t="shared" si="4"/>
        <v>5.4545269404535093E-2</v>
      </c>
      <c r="L74" s="10">
        <f t="shared" si="5"/>
        <v>6.5253176707727983E-2</v>
      </c>
    </row>
    <row r="75" spans="1:12" ht="18" x14ac:dyDescent="0.2">
      <c r="A75" s="2" t="s">
        <v>76</v>
      </c>
      <c r="B75" s="4">
        <v>473.41</v>
      </c>
      <c r="C75" s="4">
        <v>296.39999999999998</v>
      </c>
      <c r="D75" s="4">
        <v>440.07</v>
      </c>
      <c r="E75" s="4">
        <v>443.73</v>
      </c>
      <c r="F75" s="4">
        <v>521.71</v>
      </c>
      <c r="G75" s="4">
        <v>633.29999999999995</v>
      </c>
      <c r="H75" s="10">
        <f t="shared" si="1"/>
        <v>5.8787999355258041E-3</v>
      </c>
      <c r="I75" s="10">
        <f t="shared" si="2"/>
        <v>3.680691791237718E-3</v>
      </c>
      <c r="J75" s="10">
        <f t="shared" si="3"/>
        <v>5.4647841989540575E-3</v>
      </c>
      <c r="K75" s="10">
        <f t="shared" si="4"/>
        <v>5.5102340368620543E-3</v>
      </c>
      <c r="L75" s="10">
        <f t="shared" si="5"/>
        <v>6.4785887800493597E-3</v>
      </c>
    </row>
    <row r="76" spans="1:12" ht="18" x14ac:dyDescent="0.2">
      <c r="A76" s="2" t="s">
        <v>77</v>
      </c>
      <c r="B76" s="6">
        <v>1579.31</v>
      </c>
      <c r="C76" s="4">
        <v>971.43</v>
      </c>
      <c r="D76" s="6">
        <v>1383.03</v>
      </c>
      <c r="E76" s="6">
        <v>1472.73</v>
      </c>
      <c r="F76" s="6">
        <v>1816.51</v>
      </c>
      <c r="G76" s="6">
        <v>2131.62</v>
      </c>
      <c r="H76" s="10">
        <f t="shared" si="1"/>
        <v>1.9611853417070314E-2</v>
      </c>
      <c r="I76" s="10">
        <f t="shared" si="2"/>
        <v>1.2063206568023134E-2</v>
      </c>
      <c r="J76" s="10">
        <f t="shared" si="3"/>
        <v>1.7174450634397778E-2</v>
      </c>
      <c r="K76" s="10">
        <f t="shared" si="4"/>
        <v>1.8288344202798668E-2</v>
      </c>
      <c r="L76" s="10">
        <f t="shared" si="5"/>
        <v>2.2557400289140446E-2</v>
      </c>
    </row>
    <row r="77" spans="1:12" ht="18" x14ac:dyDescent="0.2">
      <c r="A77" s="2" t="s">
        <v>78</v>
      </c>
      <c r="B77" s="4">
        <v>65.569999999999993</v>
      </c>
      <c r="C77" s="4">
        <v>22.23</v>
      </c>
      <c r="D77" s="4">
        <v>48.62</v>
      </c>
      <c r="E77" s="4">
        <v>74.92</v>
      </c>
      <c r="F77" s="4">
        <v>93.66</v>
      </c>
      <c r="G77" s="4">
        <v>78.42</v>
      </c>
      <c r="H77" s="10">
        <f t="shared" si="1"/>
        <v>8.1424750590909981E-4</v>
      </c>
      <c r="I77" s="10">
        <f t="shared" si="2"/>
        <v>2.7605188434282887E-4</v>
      </c>
      <c r="J77" s="10">
        <f t="shared" si="3"/>
        <v>6.0376260084338013E-4</v>
      </c>
      <c r="K77" s="10">
        <f t="shared" si="4"/>
        <v>9.3035569837898063E-4</v>
      </c>
      <c r="L77" s="10">
        <f t="shared" si="5"/>
        <v>1.1630688028587202E-3</v>
      </c>
    </row>
    <row r="78" spans="1:12" ht="18" x14ac:dyDescent="0.2">
      <c r="A78" s="2" t="s">
        <v>79</v>
      </c>
      <c r="B78" s="6">
        <v>1495.52</v>
      </c>
      <c r="C78" s="4">
        <v>811.05</v>
      </c>
      <c r="D78" s="6">
        <v>1209.58</v>
      </c>
      <c r="E78" s="6">
        <v>1522.17</v>
      </c>
      <c r="F78" s="6">
        <v>1722.21</v>
      </c>
      <c r="G78" s="6">
        <v>2063.4299999999998</v>
      </c>
      <c r="H78" s="10">
        <f t="shared" si="1"/>
        <v>1.8571350160701189E-2</v>
      </c>
      <c r="I78" s="10">
        <f t="shared" si="2"/>
        <v>1.0071609572480943E-2</v>
      </c>
      <c r="J78" s="10">
        <f t="shared" si="3"/>
        <v>1.5020550529167743E-2</v>
      </c>
      <c r="K78" s="10">
        <f t="shared" si="4"/>
        <v>1.8902289554211599E-2</v>
      </c>
      <c r="L78" s="10">
        <f t="shared" si="5"/>
        <v>2.1386383973642075E-2</v>
      </c>
    </row>
    <row r="79" spans="1:12" ht="18" x14ac:dyDescent="0.2">
      <c r="A79" s="2" t="s">
        <v>80</v>
      </c>
      <c r="B79" s="4">
        <v>133.59</v>
      </c>
      <c r="C79" s="4">
        <v>143.47</v>
      </c>
      <c r="D79" s="4">
        <v>124.06</v>
      </c>
      <c r="E79" s="4">
        <v>124.86</v>
      </c>
      <c r="F79" s="4">
        <v>140.24</v>
      </c>
      <c r="G79" s="4">
        <v>135.86000000000001</v>
      </c>
      <c r="H79" s="10">
        <f t="shared" si="1"/>
        <v>1.6589190836418584E-3</v>
      </c>
      <c r="I79" s="10">
        <f t="shared" si="2"/>
        <v>1.7816088100164489E-3</v>
      </c>
      <c r="J79" s="10">
        <f t="shared" si="3"/>
        <v>1.5405756532420761E-3</v>
      </c>
      <c r="K79" s="10">
        <f t="shared" si="4"/>
        <v>1.5505100440416381E-3</v>
      </c>
      <c r="L79" s="10">
        <f t="shared" si="5"/>
        <v>1.7414987071632175E-3</v>
      </c>
    </row>
    <row r="80" spans="1:12" ht="18" x14ac:dyDescent="0.2">
      <c r="A80" s="2" t="s">
        <v>81</v>
      </c>
      <c r="B80" s="6">
        <v>1361.93</v>
      </c>
      <c r="C80" s="4">
        <v>667.58</v>
      </c>
      <c r="D80" s="6">
        <v>1085.52</v>
      </c>
      <c r="E80" s="6">
        <v>1397.31</v>
      </c>
      <c r="F80" s="6">
        <v>1581.98</v>
      </c>
      <c r="G80" s="6">
        <v>1927.57</v>
      </c>
      <c r="H80" s="10">
        <f t="shared" si="1"/>
        <v>1.6912431077059333E-2</v>
      </c>
      <c r="I80" s="10">
        <f t="shared" si="2"/>
        <v>8.2900007624644948E-3</v>
      </c>
      <c r="J80" s="10">
        <f t="shared" si="3"/>
        <v>1.3479974875925668E-2</v>
      </c>
      <c r="K80" s="10">
        <f t="shared" si="4"/>
        <v>1.735177951016996E-2</v>
      </c>
      <c r="L80" s="10">
        <f t="shared" si="5"/>
        <v>1.9645009446363854E-2</v>
      </c>
    </row>
    <row r="81" spans="1:12" ht="18" x14ac:dyDescent="0.2">
      <c r="A81" s="2" t="s">
        <v>82</v>
      </c>
      <c r="B81" s="4">
        <v>964.53</v>
      </c>
      <c r="C81" s="4">
        <v>460.42</v>
      </c>
      <c r="D81" s="4">
        <v>731.08</v>
      </c>
      <c r="E81" s="4">
        <v>878.89</v>
      </c>
      <c r="F81" s="6">
        <v>1100.6300000000001</v>
      </c>
      <c r="G81" s="6">
        <v>1543.96</v>
      </c>
      <c r="H81" s="10">
        <f t="shared" si="1"/>
        <v>1.1977522447376911E-2</v>
      </c>
      <c r="I81" s="10">
        <f t="shared" si="2"/>
        <v>5.7174902649179161E-3</v>
      </c>
      <c r="J81" s="10">
        <f t="shared" si="3"/>
        <v>9.0785430321797273E-3</v>
      </c>
      <c r="K81" s="10">
        <f t="shared" si="4"/>
        <v>1.09140459122838E-2</v>
      </c>
      <c r="L81" s="10">
        <f t="shared" si="5"/>
        <v>1.3667610682152397E-2</v>
      </c>
    </row>
    <row r="82" spans="1:12" ht="18" x14ac:dyDescent="0.2">
      <c r="A82" s="2" t="s">
        <v>83</v>
      </c>
      <c r="B82" s="6">
        <v>2094.62</v>
      </c>
      <c r="C82" s="4">
        <v>962.87</v>
      </c>
      <c r="D82" s="6">
        <v>1162.01</v>
      </c>
      <c r="E82" s="6">
        <v>1468.08</v>
      </c>
      <c r="F82" s="6">
        <v>2366.58</v>
      </c>
      <c r="G82" s="6">
        <v>4242.74</v>
      </c>
      <c r="H82" s="10">
        <f t="shared" si="1"/>
        <v>2.6010967070723177E-2</v>
      </c>
      <c r="I82" s="10">
        <f t="shared" si="2"/>
        <v>1.1956908586467821E-2</v>
      </c>
      <c r="J82" s="10">
        <f t="shared" si="3"/>
        <v>1.4429826816248789E-2</v>
      </c>
      <c r="K82" s="10">
        <f t="shared" si="4"/>
        <v>1.8230600556276212E-2</v>
      </c>
      <c r="L82" s="10">
        <f t="shared" si="5"/>
        <v>2.9388163223034277E-2</v>
      </c>
    </row>
    <row r="83" spans="1:12" ht="18" x14ac:dyDescent="0.2">
      <c r="A83" s="2" t="s">
        <v>84</v>
      </c>
      <c r="B83" s="4">
        <v>577.54</v>
      </c>
      <c r="C83" s="4">
        <v>101.91</v>
      </c>
      <c r="D83" s="4">
        <v>125.4</v>
      </c>
      <c r="E83" s="4">
        <v>175.31</v>
      </c>
      <c r="F83" s="4">
        <v>766.68</v>
      </c>
      <c r="G83" s="6">
        <v>1599.26</v>
      </c>
      <c r="H83" s="10">
        <f t="shared" si="1"/>
        <v>7.1718850779737917E-3</v>
      </c>
      <c r="I83" s="10">
        <f t="shared" si="2"/>
        <v>1.2655172079792034E-3</v>
      </c>
      <c r="J83" s="10">
        <f t="shared" si="3"/>
        <v>1.5572157578313424E-3</v>
      </c>
      <c r="K83" s="10">
        <f t="shared" si="4"/>
        <v>2.1769975638390162E-3</v>
      </c>
      <c r="L83" s="10">
        <f t="shared" si="5"/>
        <v>9.5206234227602354E-3</v>
      </c>
    </row>
    <row r="84" spans="1:12" ht="18" x14ac:dyDescent="0.2">
      <c r="A84" s="2" t="s">
        <v>85</v>
      </c>
      <c r="B84" s="6">
        <v>1517.08</v>
      </c>
      <c r="C84" s="4">
        <v>860.96</v>
      </c>
      <c r="D84" s="6">
        <v>1036.6099999999999</v>
      </c>
      <c r="E84" s="6">
        <v>1292.77</v>
      </c>
      <c r="F84" s="6">
        <v>1599.9</v>
      </c>
      <c r="G84" s="6">
        <v>2643.48</v>
      </c>
      <c r="H84" s="10">
        <f t="shared" si="1"/>
        <v>1.8839081992749383E-2</v>
      </c>
      <c r="I84" s="10">
        <f t="shared" si="2"/>
        <v>1.0691391378488617E-2</v>
      </c>
      <c r="J84" s="10">
        <f t="shared" si="3"/>
        <v>1.2872611058417445E-2</v>
      </c>
      <c r="K84" s="10">
        <f t="shared" si="4"/>
        <v>1.6053602992437199E-2</v>
      </c>
      <c r="L84" s="10">
        <f t="shared" si="5"/>
        <v>1.9867539800274042E-2</v>
      </c>
    </row>
    <row r="85" spans="1:12" ht="18" x14ac:dyDescent="0.2">
      <c r="A85" s="2" t="s">
        <v>86</v>
      </c>
      <c r="B85" s="4">
        <v>882.45</v>
      </c>
      <c r="C85" s="4">
        <v>647.39</v>
      </c>
      <c r="D85" s="4">
        <v>644.29</v>
      </c>
      <c r="E85" s="4">
        <v>945.47</v>
      </c>
      <c r="F85" s="4">
        <v>882.28</v>
      </c>
      <c r="G85" s="6">
        <v>1305.53</v>
      </c>
      <c r="H85" s="10">
        <f t="shared" si="1"/>
        <v>1.0958253951341852E-2</v>
      </c>
      <c r="I85" s="10">
        <f t="shared" si="2"/>
        <v>8.0392815746605489E-3</v>
      </c>
      <c r="J85" s="10">
        <f t="shared" si="3"/>
        <v>8.000785810312246E-3</v>
      </c>
      <c r="K85" s="10">
        <f t="shared" si="4"/>
        <v>1.1740835586577347E-2</v>
      </c>
      <c r="L85" s="10">
        <f t="shared" si="5"/>
        <v>1.0956142893296944E-2</v>
      </c>
    </row>
    <row r="86" spans="1:12" ht="18" x14ac:dyDescent="0.2">
      <c r="A86" s="2" t="s">
        <v>87</v>
      </c>
      <c r="B86" s="4">
        <v>197.46</v>
      </c>
      <c r="C86" s="4">
        <v>148.04</v>
      </c>
      <c r="D86" s="4">
        <v>187.28</v>
      </c>
      <c r="E86" s="4">
        <v>248.08</v>
      </c>
      <c r="F86" s="4">
        <v>212.16</v>
      </c>
      <c r="G86" s="4">
        <v>190.86</v>
      </c>
      <c r="H86" s="10">
        <f t="shared" si="1"/>
        <v>2.4520560091018891E-3</v>
      </c>
      <c r="I86" s="10">
        <f t="shared" si="2"/>
        <v>1.8383590174589467E-3</v>
      </c>
      <c r="J86" s="10">
        <f t="shared" si="3"/>
        <v>2.3256408861774625E-3</v>
      </c>
      <c r="K86" s="10">
        <f t="shared" si="4"/>
        <v>3.0806545869441742E-3</v>
      </c>
      <c r="L86" s="10">
        <f t="shared" si="5"/>
        <v>2.6346004400438407E-3</v>
      </c>
    </row>
    <row r="87" spans="1:12" ht="18" x14ac:dyDescent="0.2">
      <c r="A87" s="2" t="s">
        <v>89</v>
      </c>
      <c r="B87" s="4">
        <v>538.38</v>
      </c>
      <c r="C87" s="4">
        <v>375.6</v>
      </c>
      <c r="D87" s="4">
        <v>331.47</v>
      </c>
      <c r="E87" s="4">
        <v>543.49</v>
      </c>
      <c r="F87" s="4">
        <v>535.45000000000005</v>
      </c>
      <c r="G87" s="4">
        <v>918.42</v>
      </c>
      <c r="H87" s="10">
        <f t="shared" si="1"/>
        <v>6.6855966483352321E-3</v>
      </c>
      <c r="I87" s="10">
        <f t="shared" si="2"/>
        <v>4.664196480394356E-3</v>
      </c>
      <c r="J87" s="10">
        <f t="shared" si="3"/>
        <v>4.1161906479135176E-3</v>
      </c>
      <c r="K87" s="10">
        <f t="shared" si="4"/>
        <v>6.7490525695674351E-3</v>
      </c>
      <c r="L87" s="10">
        <f t="shared" si="5"/>
        <v>6.6492119420318374E-3</v>
      </c>
    </row>
    <row r="88" spans="1:12" ht="18" x14ac:dyDescent="0.2">
      <c r="A88" s="2" t="s">
        <v>90</v>
      </c>
      <c r="B88" s="4">
        <v>146.61000000000001</v>
      </c>
      <c r="C88" s="4">
        <v>123.75</v>
      </c>
      <c r="D88" s="4">
        <v>125.54</v>
      </c>
      <c r="E88" s="4">
        <v>153.9</v>
      </c>
      <c r="F88" s="4">
        <v>134.68</v>
      </c>
      <c r="G88" s="4">
        <v>196.25</v>
      </c>
      <c r="H88" s="10">
        <f t="shared" si="1"/>
        <v>1.82060129390473E-3</v>
      </c>
      <c r="I88" s="10">
        <f t="shared" si="2"/>
        <v>1.5367260768072459E-3</v>
      </c>
      <c r="J88" s="10">
        <f t="shared" si="3"/>
        <v>1.5589542762212659E-3</v>
      </c>
      <c r="K88" s="10">
        <f t="shared" si="4"/>
        <v>1.9111284300657384E-3</v>
      </c>
      <c r="L88" s="10">
        <f t="shared" si="5"/>
        <v>1.6724546911062617E-3</v>
      </c>
    </row>
    <row r="89" spans="1:12" ht="18" x14ac:dyDescent="0.2">
      <c r="A89" s="2" t="s">
        <v>91</v>
      </c>
      <c r="B89" s="6">
        <v>2971.19</v>
      </c>
      <c r="C89" s="6">
        <v>1267.73</v>
      </c>
      <c r="D89" s="6">
        <v>1988.3</v>
      </c>
      <c r="E89" s="6">
        <v>2363.91</v>
      </c>
      <c r="F89" s="6">
        <v>2943.83</v>
      </c>
      <c r="G89" s="6">
        <v>6031.79</v>
      </c>
      <c r="H89" s="10">
        <f t="shared" si="1"/>
        <v>3.6896203249688252E-2</v>
      </c>
      <c r="I89" s="10">
        <f t="shared" si="2"/>
        <v>1.5742656560410906E-2</v>
      </c>
      <c r="J89" s="10">
        <f t="shared" si="3"/>
        <v>2.469068653346139E-2</v>
      </c>
      <c r="K89" s="10">
        <f t="shared" si="4"/>
        <v>2.9355007193740738E-2</v>
      </c>
      <c r="L89" s="10">
        <f t="shared" si="5"/>
        <v>3.6556447084343226E-2</v>
      </c>
    </row>
    <row r="90" spans="1:12" ht="18" x14ac:dyDescent="0.2">
      <c r="A90" s="2" t="s">
        <v>92</v>
      </c>
      <c r="B90" s="4">
        <v>170.57</v>
      </c>
      <c r="C90" s="4">
        <v>75.53</v>
      </c>
      <c r="D90" s="4">
        <v>89.86</v>
      </c>
      <c r="E90" s="4">
        <v>209.51</v>
      </c>
      <c r="F90" s="4">
        <v>90.75</v>
      </c>
      <c r="G90" s="4">
        <v>388.42</v>
      </c>
      <c r="H90" s="10">
        <f t="shared" si="1"/>
        <v>2.1181362983516113E-3</v>
      </c>
      <c r="I90" s="10">
        <f t="shared" si="2"/>
        <v>9.3793067136364666E-4</v>
      </c>
      <c r="J90" s="10">
        <f t="shared" si="3"/>
        <v>1.1158804465608008E-3</v>
      </c>
      <c r="K90" s="10">
        <f t="shared" si="4"/>
        <v>2.6016927705202913E-3</v>
      </c>
      <c r="L90" s="10">
        <f t="shared" si="5"/>
        <v>1.1269324563253137E-3</v>
      </c>
    </row>
    <row r="91" spans="1:12" ht="18" x14ac:dyDescent="0.2">
      <c r="A91" s="2" t="s">
        <v>93</v>
      </c>
      <c r="B91" s="4">
        <v>800.8</v>
      </c>
      <c r="C91" s="4">
        <v>217.48</v>
      </c>
      <c r="D91" s="4">
        <v>380.28</v>
      </c>
      <c r="E91" s="4">
        <v>491.11</v>
      </c>
      <c r="F91" s="4">
        <v>780</v>
      </c>
      <c r="G91" s="6">
        <v>2005.33</v>
      </c>
      <c r="H91" s="10">
        <f t="shared" si="1"/>
        <v>9.944325190361555E-3</v>
      </c>
      <c r="I91" s="10">
        <f t="shared" si="2"/>
        <v>2.7006641388609277E-3</v>
      </c>
      <c r="J91" s="10">
        <f t="shared" si="3"/>
        <v>4.7223126665717928E-3</v>
      </c>
      <c r="K91" s="10">
        <f t="shared" si="4"/>
        <v>6.0985983319661137E-3</v>
      </c>
      <c r="L91" s="10">
        <f t="shared" si="5"/>
        <v>9.6860310295729425E-3</v>
      </c>
    </row>
    <row r="92" spans="1:12" ht="18" x14ac:dyDescent="0.2">
      <c r="A92" s="2" t="s">
        <v>94</v>
      </c>
      <c r="B92" s="4">
        <v>38.06</v>
      </c>
      <c r="C92" s="4">
        <v>15.94</v>
      </c>
      <c r="D92" s="4">
        <v>30.26</v>
      </c>
      <c r="E92" s="4">
        <v>25.95</v>
      </c>
      <c r="F92" s="4">
        <v>28.55</v>
      </c>
      <c r="G92" s="4">
        <v>85.94</v>
      </c>
      <c r="H92" s="10">
        <f t="shared" si="1"/>
        <v>4.7262864228916185E-4</v>
      </c>
      <c r="I92" s="10">
        <f t="shared" si="2"/>
        <v>1.979427366812727E-4</v>
      </c>
      <c r="J92" s="10">
        <f t="shared" si="3"/>
        <v>3.7576833199343243E-4</v>
      </c>
      <c r="K92" s="10">
        <f t="shared" si="4"/>
        <v>3.2224680156079212E-4</v>
      </c>
      <c r="L92" s="10">
        <f t="shared" si="5"/>
        <v>3.5453357165936863E-4</v>
      </c>
    </row>
    <row r="93" spans="1:12" ht="18" x14ac:dyDescent="0.2">
      <c r="A93" s="2" t="s">
        <v>95</v>
      </c>
      <c r="B93" s="4">
        <v>461.64</v>
      </c>
      <c r="C93" s="4">
        <v>266.83999999999997</v>
      </c>
      <c r="D93" s="4">
        <v>260.95</v>
      </c>
      <c r="E93" s="4">
        <v>370.66</v>
      </c>
      <c r="F93" s="4">
        <v>457.42</v>
      </c>
      <c r="G93" s="4">
        <v>902.25</v>
      </c>
      <c r="H93" s="10">
        <f t="shared" si="1"/>
        <v>5.7326402108872476E-3</v>
      </c>
      <c r="I93" s="10">
        <f t="shared" si="2"/>
        <v>3.3136160511939025E-3</v>
      </c>
      <c r="J93" s="10">
        <f t="shared" si="3"/>
        <v>3.2404740989321274E-3</v>
      </c>
      <c r="K93" s="10">
        <f t="shared" si="4"/>
        <v>4.6028516172070605E-3</v>
      </c>
      <c r="L93" s="10">
        <f t="shared" si="5"/>
        <v>5.6802362994195586E-3</v>
      </c>
    </row>
    <row r="94" spans="1:12" ht="18" x14ac:dyDescent="0.2">
      <c r="A94" s="2" t="s">
        <v>96</v>
      </c>
      <c r="B94" s="4">
        <v>188.57</v>
      </c>
      <c r="C94" s="4">
        <v>97.43</v>
      </c>
      <c r="D94" s="4">
        <v>147.19999999999999</v>
      </c>
      <c r="E94" s="4">
        <v>183.74</v>
      </c>
      <c r="F94" s="4">
        <v>250.81</v>
      </c>
      <c r="G94" s="4">
        <v>252.36</v>
      </c>
      <c r="H94" s="10">
        <f t="shared" si="1"/>
        <v>2.3416600913417564E-3</v>
      </c>
      <c r="I94" s="10">
        <f t="shared" si="2"/>
        <v>1.2098846195016564E-3</v>
      </c>
      <c r="J94" s="10">
        <f t="shared" si="3"/>
        <v>1.8279279071194065E-3</v>
      </c>
      <c r="K94" s="10">
        <f t="shared" si="4"/>
        <v>2.2816812068894008E-3</v>
      </c>
      <c r="L94" s="10">
        <f t="shared" si="5"/>
        <v>3.1145556955476795E-3</v>
      </c>
    </row>
    <row r="95" spans="1:12" ht="18" x14ac:dyDescent="0.2">
      <c r="A95" s="2" t="s">
        <v>97</v>
      </c>
      <c r="B95" s="6">
        <v>1311.55</v>
      </c>
      <c r="C95" s="4">
        <v>594.5</v>
      </c>
      <c r="D95" s="6">
        <v>1079.74</v>
      </c>
      <c r="E95" s="6">
        <v>1082.95</v>
      </c>
      <c r="F95" s="6">
        <v>1336.3</v>
      </c>
      <c r="G95" s="6">
        <v>2397.4899999999998</v>
      </c>
      <c r="H95" s="10">
        <f t="shared" si="1"/>
        <v>1.6286812816456914E-2</v>
      </c>
      <c r="I95" s="10">
        <f t="shared" si="2"/>
        <v>7.3824941629245062E-3</v>
      </c>
      <c r="J95" s="10">
        <f t="shared" si="3"/>
        <v>1.3408198902398832E-2</v>
      </c>
      <c r="K95" s="10">
        <f t="shared" si="4"/>
        <v>1.3448060645482075E-2</v>
      </c>
      <c r="L95" s="10">
        <f t="shared" si="5"/>
        <v>1.6594158031818365E-2</v>
      </c>
    </row>
    <row r="96" spans="1:12" ht="18" x14ac:dyDescent="0.2">
      <c r="A96" s="1"/>
      <c r="B96" s="4"/>
      <c r="C96" s="4"/>
      <c r="D96" s="4"/>
      <c r="E96" s="4"/>
      <c r="F96" s="4"/>
      <c r="G96" s="4"/>
      <c r="H96" s="10">
        <f t="shared" si="1"/>
        <v>0</v>
      </c>
      <c r="I96" s="10">
        <f t="shared" si="2"/>
        <v>0</v>
      </c>
      <c r="J96" s="10">
        <f t="shared" si="3"/>
        <v>0</v>
      </c>
      <c r="K96" s="10">
        <f t="shared" si="4"/>
        <v>0</v>
      </c>
      <c r="L96" s="10">
        <f t="shared" si="5"/>
        <v>0</v>
      </c>
    </row>
    <row r="97" spans="1:12" ht="18" x14ac:dyDescent="0.2">
      <c r="A97" s="2" t="s">
        <v>98</v>
      </c>
      <c r="B97" s="6">
        <v>2094.84</v>
      </c>
      <c r="C97" s="6">
        <v>1003.54</v>
      </c>
      <c r="D97" s="6">
        <v>1531.47</v>
      </c>
      <c r="E97" s="6">
        <v>2452.29</v>
      </c>
      <c r="F97" s="6">
        <v>2077.5500000000002</v>
      </c>
      <c r="G97" s="6">
        <v>3383.75</v>
      </c>
      <c r="H97" s="10">
        <f t="shared" si="1"/>
        <v>2.601369902819306E-2</v>
      </c>
      <c r="I97" s="10">
        <f t="shared" si="2"/>
        <v>1.2461948178740552E-2</v>
      </c>
      <c r="J97" s="10">
        <f t="shared" si="3"/>
        <v>1.9017776847256508E-2</v>
      </c>
      <c r="K97" s="10">
        <f t="shared" si="4"/>
        <v>3.0452509017322351E-2</v>
      </c>
      <c r="L97" s="10">
        <f t="shared" si="5"/>
        <v>2.5798992007037527E-2</v>
      </c>
    </row>
    <row r="98" spans="1:12" ht="18" x14ac:dyDescent="0.2">
      <c r="A98" s="2" t="s">
        <v>99</v>
      </c>
      <c r="B98" s="4">
        <v>465.23</v>
      </c>
      <c r="C98" s="4">
        <v>142.99</v>
      </c>
      <c r="D98" s="4">
        <v>268.07</v>
      </c>
      <c r="E98" s="4">
        <v>681.81</v>
      </c>
      <c r="F98" s="4">
        <v>517.19000000000005</v>
      </c>
      <c r="G98" s="4">
        <v>719.96</v>
      </c>
      <c r="H98" s="10">
        <f t="shared" si="1"/>
        <v>5.7772207896002832E-3</v>
      </c>
      <c r="I98" s="10">
        <f t="shared" si="2"/>
        <v>1.7756481755367118E-3</v>
      </c>
      <c r="J98" s="10">
        <f t="shared" si="3"/>
        <v>3.3288901770482291E-3</v>
      </c>
      <c r="K98" s="10">
        <f t="shared" si="4"/>
        <v>8.4667087388117027E-3</v>
      </c>
      <c r="L98" s="10">
        <f t="shared" si="5"/>
        <v>6.4224594720318348E-3</v>
      </c>
    </row>
    <row r="99" spans="1:12" ht="18" x14ac:dyDescent="0.2">
      <c r="A99" s="2" t="s">
        <v>100</v>
      </c>
      <c r="B99" s="4">
        <v>341.06</v>
      </c>
      <c r="C99" s="4">
        <v>116.06</v>
      </c>
      <c r="D99" s="4">
        <v>220.18</v>
      </c>
      <c r="E99" s="4">
        <v>531.30999999999995</v>
      </c>
      <c r="F99" s="4">
        <v>370.33</v>
      </c>
      <c r="G99" s="4">
        <v>468.22</v>
      </c>
      <c r="H99" s="10">
        <f t="shared" si="1"/>
        <v>4.2352791576232666E-3</v>
      </c>
      <c r="I99" s="10">
        <f t="shared" si="2"/>
        <v>1.4412317452464562E-3</v>
      </c>
      <c r="J99" s="10">
        <f t="shared" si="3"/>
        <v>2.7341927078094498E-3</v>
      </c>
      <c r="K99" s="10">
        <f t="shared" si="4"/>
        <v>6.5978014696441026E-3</v>
      </c>
      <c r="L99" s="10">
        <f t="shared" si="5"/>
        <v>4.5987536810022413E-3</v>
      </c>
    </row>
    <row r="100" spans="1:12" ht="18" x14ac:dyDescent="0.2">
      <c r="A100" s="2" t="s">
        <v>101</v>
      </c>
      <c r="B100" s="4">
        <v>124.17</v>
      </c>
      <c r="C100" s="4">
        <v>26.93</v>
      </c>
      <c r="D100" s="4">
        <v>47.9</v>
      </c>
      <c r="E100" s="4">
        <v>150.49</v>
      </c>
      <c r="F100" s="4">
        <v>146.86000000000001</v>
      </c>
      <c r="G100" s="4">
        <v>251.74</v>
      </c>
      <c r="H100" s="10">
        <f t="shared" si="1"/>
        <v>1.5419416319770159E-3</v>
      </c>
      <c r="I100" s="10">
        <f t="shared" si="2"/>
        <v>3.3441643029025561E-4</v>
      </c>
      <c r="J100" s="10">
        <f t="shared" si="3"/>
        <v>5.9482164912377431E-4</v>
      </c>
      <c r="K100" s="10">
        <f t="shared" si="4"/>
        <v>1.8687830892826056E-3</v>
      </c>
      <c r="L100" s="10">
        <f t="shared" si="5"/>
        <v>1.8237057910295931E-3</v>
      </c>
    </row>
    <row r="101" spans="1:12" ht="18" x14ac:dyDescent="0.2">
      <c r="A101" s="2" t="s">
        <v>102</v>
      </c>
      <c r="B101" s="4">
        <v>808.11</v>
      </c>
      <c r="C101" s="4">
        <v>486.09</v>
      </c>
      <c r="D101" s="4">
        <v>563.41</v>
      </c>
      <c r="E101" s="4">
        <v>817.06</v>
      </c>
      <c r="F101" s="4">
        <v>793.33</v>
      </c>
      <c r="G101" s="6">
        <v>1389.19</v>
      </c>
      <c r="H101" s="10">
        <f t="shared" ref="H101:H143" si="6">B101/$B$35</f>
        <v>1.0035100686292552E-2</v>
      </c>
      <c r="I101" s="10">
        <f t="shared" ref="I101:I143" si="7">C101/$B$35</f>
        <v>6.0362600296988613E-3</v>
      </c>
      <c r="J101" s="10">
        <f t="shared" ref="J101:J143" si="8">D101/$B$35</f>
        <v>6.9964189004765275E-3</v>
      </c>
      <c r="K101" s="10">
        <f t="shared" ref="K101:K143" si="9">E101/$B$35</f>
        <v>1.0146241683362651E-2</v>
      </c>
      <c r="L101" s="10">
        <f t="shared" ref="L101:L143" si="10">F101/$B$35</f>
        <v>9.851562816270646E-3</v>
      </c>
    </row>
    <row r="102" spans="1:12" ht="18" x14ac:dyDescent="0.2">
      <c r="A102" s="2" t="s">
        <v>103</v>
      </c>
      <c r="B102" s="4">
        <v>709.68</v>
      </c>
      <c r="C102" s="4">
        <v>412.55</v>
      </c>
      <c r="D102" s="4">
        <v>486.44</v>
      </c>
      <c r="E102" s="4">
        <v>704.54</v>
      </c>
      <c r="F102" s="4">
        <v>702.62</v>
      </c>
      <c r="G102" s="6">
        <v>1249.6600000000001</v>
      </c>
      <c r="H102" s="10">
        <f t="shared" si="6"/>
        <v>8.8127980782914429E-3</v>
      </c>
      <c r="I102" s="10">
        <f t="shared" si="7"/>
        <v>5.1230411554491258E-3</v>
      </c>
      <c r="J102" s="10">
        <f t="shared" si="8"/>
        <v>6.0406063256736699E-3</v>
      </c>
      <c r="K102" s="10">
        <f t="shared" si="9"/>
        <v>8.7489696174042585E-3</v>
      </c>
      <c r="L102" s="10">
        <f t="shared" si="10"/>
        <v>8.7251270794853099E-3</v>
      </c>
    </row>
    <row r="103" spans="1:12" ht="18" x14ac:dyDescent="0.2">
      <c r="A103" s="2" t="s">
        <v>104</v>
      </c>
      <c r="B103" s="4">
        <v>98.43</v>
      </c>
      <c r="C103" s="4">
        <v>73.540000000000006</v>
      </c>
      <c r="D103" s="4">
        <v>76.97</v>
      </c>
      <c r="E103" s="4">
        <v>112.52</v>
      </c>
      <c r="F103" s="4">
        <v>90.71</v>
      </c>
      <c r="G103" s="4">
        <v>139.53</v>
      </c>
      <c r="H103" s="10">
        <f t="shared" si="6"/>
        <v>1.2223026080011089E-3</v>
      </c>
      <c r="I103" s="10">
        <f t="shared" si="7"/>
        <v>9.1321887424973634E-4</v>
      </c>
      <c r="J103" s="10">
        <f t="shared" si="8"/>
        <v>9.558125748028582E-4</v>
      </c>
      <c r="K103" s="10">
        <f t="shared" si="9"/>
        <v>1.3972720659583943E-3</v>
      </c>
      <c r="L103" s="10">
        <f t="shared" si="10"/>
        <v>1.1264357367853355E-3</v>
      </c>
    </row>
    <row r="104" spans="1:12" ht="18" x14ac:dyDescent="0.2">
      <c r="A104" s="2" t="s">
        <v>105</v>
      </c>
      <c r="B104" s="4">
        <v>61.11</v>
      </c>
      <c r="C104" s="4">
        <v>17.059999999999999</v>
      </c>
      <c r="D104" s="4">
        <v>40.22</v>
      </c>
      <c r="E104" s="4">
        <v>113.88</v>
      </c>
      <c r="F104" s="4">
        <v>102.88</v>
      </c>
      <c r="G104" s="4">
        <v>31.79</v>
      </c>
      <c r="H104" s="10">
        <f t="shared" si="6"/>
        <v>7.588632772015417E-4</v>
      </c>
      <c r="I104" s="10">
        <f t="shared" si="7"/>
        <v>2.118508838006595E-4</v>
      </c>
      <c r="J104" s="10">
        <f t="shared" si="8"/>
        <v>4.9945149744797922E-4</v>
      </c>
      <c r="K104" s="10">
        <f t="shared" si="9"/>
        <v>1.4141605303176496E-3</v>
      </c>
      <c r="L104" s="10">
        <f t="shared" si="10"/>
        <v>1.2775626568236722E-3</v>
      </c>
    </row>
    <row r="105" spans="1:12" ht="18" x14ac:dyDescent="0.2">
      <c r="A105" s="2" t="s">
        <v>106</v>
      </c>
      <c r="B105" s="4">
        <v>392.74</v>
      </c>
      <c r="C105" s="4">
        <v>155.16</v>
      </c>
      <c r="D105" s="4">
        <v>373.68</v>
      </c>
      <c r="E105" s="4">
        <v>579.63</v>
      </c>
      <c r="F105" s="4">
        <v>315.68</v>
      </c>
      <c r="G105" s="4">
        <v>532.32000000000005</v>
      </c>
      <c r="H105" s="10">
        <f t="shared" si="6"/>
        <v>4.8770408032749717E-3</v>
      </c>
      <c r="I105" s="10">
        <f t="shared" si="7"/>
        <v>1.9267750955750485E-3</v>
      </c>
      <c r="J105" s="10">
        <f t="shared" si="8"/>
        <v>4.6403539424754075E-3</v>
      </c>
      <c r="K105" s="10">
        <f t="shared" si="9"/>
        <v>7.1978386739376477E-3</v>
      </c>
      <c r="L105" s="10">
        <f t="shared" si="10"/>
        <v>3.9201106095071627E-3</v>
      </c>
    </row>
    <row r="106" spans="1:12" ht="18" x14ac:dyDescent="0.2">
      <c r="A106" s="2" t="s">
        <v>107</v>
      </c>
      <c r="B106" s="4">
        <v>367.65</v>
      </c>
      <c r="C106" s="4">
        <v>202.23</v>
      </c>
      <c r="D106" s="4">
        <v>286.08999999999997</v>
      </c>
      <c r="E106" s="4">
        <v>259.91000000000003</v>
      </c>
      <c r="F106" s="4">
        <v>348.48</v>
      </c>
      <c r="G106" s="4">
        <v>710.49</v>
      </c>
      <c r="H106" s="10">
        <f t="shared" si="6"/>
        <v>4.5654734718237082E-3</v>
      </c>
      <c r="I106" s="10">
        <f t="shared" si="7"/>
        <v>2.5112898142442774E-3</v>
      </c>
      <c r="J106" s="10">
        <f t="shared" si="8"/>
        <v>3.5526623298083627E-3</v>
      </c>
      <c r="K106" s="10">
        <f t="shared" si="9"/>
        <v>3.2275593908926972E-3</v>
      </c>
      <c r="L106" s="10">
        <f t="shared" si="10"/>
        <v>4.3274206322892047E-3</v>
      </c>
    </row>
    <row r="107" spans="1:12" ht="18" x14ac:dyDescent="0.2">
      <c r="A107" s="1"/>
      <c r="B107" s="4"/>
      <c r="C107" s="4"/>
      <c r="D107" s="4"/>
      <c r="E107" s="4"/>
      <c r="F107" s="4"/>
      <c r="G107" s="4"/>
      <c r="H107" s="10">
        <f t="shared" si="6"/>
        <v>0</v>
      </c>
      <c r="I107" s="10">
        <f t="shared" si="7"/>
        <v>0</v>
      </c>
      <c r="J107" s="10">
        <f t="shared" si="8"/>
        <v>0</v>
      </c>
      <c r="K107" s="10">
        <f t="shared" si="9"/>
        <v>0</v>
      </c>
      <c r="L107" s="10">
        <f t="shared" si="10"/>
        <v>0</v>
      </c>
    </row>
    <row r="108" spans="1:12" ht="18" x14ac:dyDescent="0.2">
      <c r="A108" s="2" t="s">
        <v>108</v>
      </c>
      <c r="B108" s="6">
        <v>12132.97</v>
      </c>
      <c r="C108" s="6">
        <v>5645.39</v>
      </c>
      <c r="D108" s="6">
        <v>8159.77</v>
      </c>
      <c r="E108" s="6">
        <v>10684.8</v>
      </c>
      <c r="F108" s="6">
        <v>15235.81</v>
      </c>
      <c r="G108" s="6">
        <v>19426.54</v>
      </c>
      <c r="H108" s="10">
        <f t="shared" si="6"/>
        <v>0.15066708192420208</v>
      </c>
      <c r="I108" s="10">
        <f t="shared" si="7"/>
        <v>7.01043880949241E-2</v>
      </c>
      <c r="J108" s="10">
        <f t="shared" si="8"/>
        <v>0.10132793001817746</v>
      </c>
      <c r="K108" s="10">
        <f t="shared" si="9"/>
        <v>0.13268372351894997</v>
      </c>
      <c r="L108" s="10">
        <f t="shared" si="10"/>
        <v>0.18919811335984327</v>
      </c>
    </row>
    <row r="109" spans="1:12" ht="18" x14ac:dyDescent="0.2">
      <c r="A109" s="2" t="s">
        <v>109</v>
      </c>
      <c r="B109" s="6">
        <v>4168.51</v>
      </c>
      <c r="C109" s="6">
        <v>1652.14</v>
      </c>
      <c r="D109" s="6">
        <v>2263.34</v>
      </c>
      <c r="E109" s="6">
        <v>3547.21</v>
      </c>
      <c r="F109" s="6">
        <v>5354.48</v>
      </c>
      <c r="G109" s="6">
        <v>7390.15</v>
      </c>
      <c r="H109" s="10">
        <f t="shared" si="6"/>
        <v>5.1764509239852707E-2</v>
      </c>
      <c r="I109" s="10">
        <f t="shared" si="7"/>
        <v>2.0516255519485441E-2</v>
      </c>
      <c r="J109" s="10">
        <f t="shared" si="8"/>
        <v>2.8106130090350803E-2</v>
      </c>
      <c r="K109" s="10">
        <f t="shared" si="9"/>
        <v>4.4049212985142874E-2</v>
      </c>
      <c r="L109" s="10">
        <f t="shared" si="10"/>
        <v>6.6491871060548366E-2</v>
      </c>
    </row>
    <row r="110" spans="1:12" ht="18" x14ac:dyDescent="0.2">
      <c r="A110" s="2" t="s">
        <v>110</v>
      </c>
      <c r="B110" s="6">
        <v>2283.44</v>
      </c>
      <c r="C110" s="4">
        <v>739.24</v>
      </c>
      <c r="D110" s="4">
        <v>832.03</v>
      </c>
      <c r="E110" s="6">
        <v>1723.37</v>
      </c>
      <c r="F110" s="6">
        <v>3062.55</v>
      </c>
      <c r="G110" s="6">
        <v>4641.0200000000004</v>
      </c>
      <c r="H110" s="10">
        <f t="shared" si="6"/>
        <v>2.8355731659189799E-2</v>
      </c>
      <c r="I110" s="10">
        <f t="shared" si="7"/>
        <v>9.1798738183352605E-3</v>
      </c>
      <c r="J110" s="10">
        <f t="shared" si="8"/>
        <v>1.0332138971199455E-2</v>
      </c>
      <c r="K110" s="10">
        <f t="shared" si="9"/>
        <v>2.140078884030144E-2</v>
      </c>
      <c r="L110" s="10">
        <f t="shared" si="10"/>
        <v>3.8030710678998228E-2</v>
      </c>
    </row>
    <row r="111" spans="1:12" ht="18" x14ac:dyDescent="0.2">
      <c r="A111" s="2" t="s">
        <v>111</v>
      </c>
      <c r="B111" s="6">
        <v>1838.55</v>
      </c>
      <c r="C111" s="4">
        <v>912.91</v>
      </c>
      <c r="D111" s="6">
        <v>1431.31</v>
      </c>
      <c r="E111" s="6">
        <v>1714.33</v>
      </c>
      <c r="F111" s="6">
        <v>2231.6999999999998</v>
      </c>
      <c r="G111" s="6">
        <v>2702.14</v>
      </c>
      <c r="H111" s="10">
        <f t="shared" si="6"/>
        <v>2.2831092755668376E-2</v>
      </c>
      <c r="I111" s="10">
        <f t="shared" si="7"/>
        <v>1.1336505881035174E-2</v>
      </c>
      <c r="J111" s="10">
        <f t="shared" si="8"/>
        <v>1.7773991119151344E-2</v>
      </c>
      <c r="K111" s="10">
        <f t="shared" si="9"/>
        <v>2.128853022426639E-2</v>
      </c>
      <c r="L111" s="10">
        <f t="shared" si="10"/>
        <v>2.7713224934228124E-2</v>
      </c>
    </row>
    <row r="112" spans="1:12" ht="18" x14ac:dyDescent="0.2">
      <c r="A112" s="2" t="s">
        <v>112</v>
      </c>
      <c r="B112" s="4">
        <v>46.52</v>
      </c>
      <c r="C112" s="4">
        <v>0</v>
      </c>
      <c r="D112" s="4">
        <v>0</v>
      </c>
      <c r="E112" s="4">
        <v>109.51</v>
      </c>
      <c r="F112" s="4">
        <v>60.24</v>
      </c>
      <c r="G112" s="4">
        <v>46.99</v>
      </c>
      <c r="H112" s="10">
        <f t="shared" si="6"/>
        <v>5.7768482499452991E-4</v>
      </c>
      <c r="I112" s="10">
        <f t="shared" si="7"/>
        <v>0</v>
      </c>
      <c r="J112" s="10">
        <f t="shared" si="8"/>
        <v>0</v>
      </c>
      <c r="K112" s="10">
        <f t="shared" si="9"/>
        <v>1.3598939205750425E-3</v>
      </c>
      <c r="L112" s="10">
        <f t="shared" si="10"/>
        <v>7.4805962720701812E-4</v>
      </c>
    </row>
    <row r="113" spans="1:12" ht="18" x14ac:dyDescent="0.2">
      <c r="A113" s="2" t="s">
        <v>113</v>
      </c>
      <c r="B113" s="6">
        <v>3226.32</v>
      </c>
      <c r="C113" s="6">
        <v>1742.42</v>
      </c>
      <c r="D113" s="6">
        <v>2596.2600000000002</v>
      </c>
      <c r="E113" s="6">
        <v>3048.62</v>
      </c>
      <c r="F113" s="6">
        <v>4125.07</v>
      </c>
      <c r="G113" s="6">
        <v>4292.43</v>
      </c>
      <c r="H113" s="10">
        <f t="shared" si="6"/>
        <v>4.0064404655553561E-2</v>
      </c>
      <c r="I113" s="10">
        <f t="shared" si="7"/>
        <v>2.163735152121601E-2</v>
      </c>
      <c r="J113" s="10">
        <f t="shared" si="8"/>
        <v>3.2240326821588526E-2</v>
      </c>
      <c r="K113" s="10">
        <f t="shared" si="9"/>
        <v>3.7857728099200856E-2</v>
      </c>
      <c r="L113" s="10">
        <f t="shared" si="10"/>
        <v>5.1225071819436488E-2</v>
      </c>
    </row>
    <row r="114" spans="1:12" ht="18" x14ac:dyDescent="0.2">
      <c r="A114" s="2" t="s">
        <v>115</v>
      </c>
      <c r="B114" s="6">
        <v>3940.19</v>
      </c>
      <c r="C114" s="6">
        <v>2007.91</v>
      </c>
      <c r="D114" s="6">
        <v>2867.28</v>
      </c>
      <c r="E114" s="6">
        <v>3532.1</v>
      </c>
      <c r="F114" s="6">
        <v>4745.21</v>
      </c>
      <c r="G114" s="6">
        <v>6125.4</v>
      </c>
      <c r="H114" s="10">
        <f t="shared" si="6"/>
        <v>4.8929234105657714E-2</v>
      </c>
      <c r="I114" s="10">
        <f t="shared" si="7"/>
        <v>2.4934203287935653E-2</v>
      </c>
      <c r="J114" s="10">
        <f t="shared" si="8"/>
        <v>3.5605850064710141E-2</v>
      </c>
      <c r="K114" s="10">
        <f t="shared" si="9"/>
        <v>4.3861577178916145E-2</v>
      </c>
      <c r="L114" s="10">
        <f t="shared" si="10"/>
        <v>5.8925963207486956E-2</v>
      </c>
    </row>
    <row r="115" spans="1:12" ht="18" x14ac:dyDescent="0.2">
      <c r="A115" s="2" t="s">
        <v>116</v>
      </c>
      <c r="B115" s="4">
        <v>247.3</v>
      </c>
      <c r="C115" s="4">
        <v>62.74</v>
      </c>
      <c r="D115" s="4">
        <v>185.93</v>
      </c>
      <c r="E115" s="4">
        <v>245.52</v>
      </c>
      <c r="F115" s="4">
        <v>330.11</v>
      </c>
      <c r="G115" s="4">
        <v>373.65</v>
      </c>
      <c r="H115" s="10">
        <f t="shared" si="6"/>
        <v>3.0709685559146011E-3</v>
      </c>
      <c r="I115" s="10">
        <f t="shared" si="7"/>
        <v>7.7910459845564938E-4</v>
      </c>
      <c r="J115" s="10">
        <f t="shared" si="8"/>
        <v>2.3088766017032017E-3</v>
      </c>
      <c r="K115" s="10">
        <f t="shared" si="9"/>
        <v>3.0488645363855758E-3</v>
      </c>
      <c r="L115" s="10">
        <f t="shared" si="10"/>
        <v>4.099302183554262E-3</v>
      </c>
    </row>
    <row r="116" spans="1:12" ht="18" x14ac:dyDescent="0.2">
      <c r="A116" s="2" t="s">
        <v>117</v>
      </c>
      <c r="B116" s="6">
        <v>1172.3699999999999</v>
      </c>
      <c r="C116" s="4">
        <v>729.77</v>
      </c>
      <c r="D116" s="4">
        <v>931.23</v>
      </c>
      <c r="E116" s="4">
        <v>933.98</v>
      </c>
      <c r="F116" s="6">
        <v>1639</v>
      </c>
      <c r="G116" s="6">
        <v>1541.96</v>
      </c>
      <c r="H116" s="10">
        <f t="shared" si="6"/>
        <v>1.4558477177103115E-2</v>
      </c>
      <c r="I116" s="10">
        <f t="shared" si="7"/>
        <v>9.0622754672454453E-3</v>
      </c>
      <c r="J116" s="10">
        <f t="shared" si="8"/>
        <v>1.1564003430345143E-2</v>
      </c>
      <c r="K116" s="10">
        <f t="shared" si="9"/>
        <v>1.1598152898718638E-2</v>
      </c>
      <c r="L116" s="10">
        <f t="shared" si="10"/>
        <v>2.0353083150602632E-2</v>
      </c>
    </row>
    <row r="117" spans="1:12" ht="18" x14ac:dyDescent="0.2">
      <c r="A117" s="2" t="s">
        <v>118</v>
      </c>
      <c r="B117" s="4">
        <v>754.89</v>
      </c>
      <c r="C117" s="4">
        <v>306.91000000000003</v>
      </c>
      <c r="D117" s="4">
        <v>335.24</v>
      </c>
      <c r="E117" s="4">
        <v>625.41</v>
      </c>
      <c r="F117" s="4">
        <v>685.44</v>
      </c>
      <c r="G117" s="6">
        <v>1707.06</v>
      </c>
      <c r="H117" s="10">
        <f t="shared" si="6"/>
        <v>9.3742153383516904E-3</v>
      </c>
      <c r="I117" s="10">
        <f t="shared" si="7"/>
        <v>3.8112048503669642E-3</v>
      </c>
      <c r="J117" s="10">
        <f t="shared" si="8"/>
        <v>4.1630064645564535E-3</v>
      </c>
      <c r="K117" s="10">
        <f t="shared" si="9"/>
        <v>7.766334187442582E-3</v>
      </c>
      <c r="L117" s="10">
        <f t="shared" si="10"/>
        <v>8.5117860370647162E-3</v>
      </c>
    </row>
    <row r="118" spans="1:12" ht="18" x14ac:dyDescent="0.2">
      <c r="A118" s="2" t="s">
        <v>119</v>
      </c>
      <c r="B118" s="6">
        <v>1765.63</v>
      </c>
      <c r="C118" s="4">
        <v>908.49</v>
      </c>
      <c r="D118" s="6">
        <v>1414.88</v>
      </c>
      <c r="E118" s="6">
        <v>1727.19</v>
      </c>
      <c r="F118" s="6">
        <v>2090.67</v>
      </c>
      <c r="G118" s="6">
        <v>2502.7199999999998</v>
      </c>
      <c r="H118" s="10">
        <f t="shared" si="6"/>
        <v>2.1925573034288305E-2</v>
      </c>
      <c r="I118" s="10">
        <f t="shared" si="7"/>
        <v>1.1281618371867594E-2</v>
      </c>
      <c r="J118" s="10">
        <f t="shared" si="8"/>
        <v>1.7569963568105341E-2</v>
      </c>
      <c r="K118" s="10">
        <f t="shared" si="9"/>
        <v>2.1448225556369348E-2</v>
      </c>
      <c r="L118" s="10">
        <f t="shared" si="10"/>
        <v>2.596191601615034E-2</v>
      </c>
    </row>
    <row r="119" spans="1:12" ht="18" x14ac:dyDescent="0.2">
      <c r="A119" s="2" t="s">
        <v>120</v>
      </c>
      <c r="B119" s="4">
        <v>797.95</v>
      </c>
      <c r="C119" s="4">
        <v>242.91</v>
      </c>
      <c r="D119" s="4">
        <v>432.88</v>
      </c>
      <c r="E119" s="4">
        <v>556.86</v>
      </c>
      <c r="F119" s="6">
        <v>1011.05</v>
      </c>
      <c r="G119" s="6">
        <v>1618.57</v>
      </c>
      <c r="H119" s="10">
        <f t="shared" si="6"/>
        <v>9.9089339231381163E-3</v>
      </c>
      <c r="I119" s="10">
        <f t="shared" si="7"/>
        <v>3.0164535864020047E-3</v>
      </c>
      <c r="J119" s="10">
        <f t="shared" si="8"/>
        <v>5.3754988616429942E-3</v>
      </c>
      <c r="K119" s="10">
        <f t="shared" si="9"/>
        <v>6.9150810758051148E-3</v>
      </c>
      <c r="L119" s="10">
        <f t="shared" si="10"/>
        <v>1.255520727237144E-2</v>
      </c>
    </row>
    <row r="120" spans="1:12" ht="18" x14ac:dyDescent="0.2">
      <c r="A120" s="1"/>
      <c r="B120" s="4"/>
      <c r="C120" s="4"/>
      <c r="D120" s="4"/>
      <c r="E120" s="4"/>
      <c r="F120" s="4"/>
      <c r="G120" s="4"/>
      <c r="H120" s="10">
        <f t="shared" si="6"/>
        <v>0</v>
      </c>
      <c r="I120" s="10">
        <f t="shared" si="7"/>
        <v>0</v>
      </c>
      <c r="J120" s="10">
        <f t="shared" si="8"/>
        <v>0</v>
      </c>
      <c r="K120" s="10">
        <f t="shared" si="9"/>
        <v>0</v>
      </c>
      <c r="L120" s="10">
        <f t="shared" si="10"/>
        <v>0</v>
      </c>
    </row>
    <row r="121" spans="1:12" ht="18" x14ac:dyDescent="0.2">
      <c r="A121" s="2" t="s">
        <v>121</v>
      </c>
      <c r="B121" s="6">
        <v>5599.86</v>
      </c>
      <c r="C121" s="6">
        <v>2952.58</v>
      </c>
      <c r="D121" s="6">
        <v>4177.76</v>
      </c>
      <c r="E121" s="6">
        <v>5310.23</v>
      </c>
      <c r="F121" s="6">
        <v>6838.29</v>
      </c>
      <c r="G121" s="6">
        <v>8136.56</v>
      </c>
      <c r="H121" s="10">
        <f t="shared" si="6"/>
        <v>6.9538997078544024E-2</v>
      </c>
      <c r="I121" s="10">
        <f t="shared" si="7"/>
        <v>3.6665104483713434E-2</v>
      </c>
      <c r="J121" s="10">
        <f t="shared" si="8"/>
        <v>5.1879375633472641E-2</v>
      </c>
      <c r="K121" s="10">
        <f t="shared" si="9"/>
        <v>6.5942375069447598E-2</v>
      </c>
      <c r="L121" s="10">
        <f t="shared" si="10"/>
        <v>8.4917806575920976E-2</v>
      </c>
    </row>
    <row r="122" spans="1:12" ht="18" x14ac:dyDescent="0.2">
      <c r="A122" s="2" t="s">
        <v>122</v>
      </c>
      <c r="B122" s="6">
        <v>3819.04</v>
      </c>
      <c r="C122" s="6">
        <v>2056.87</v>
      </c>
      <c r="D122" s="6">
        <v>2871.55</v>
      </c>
      <c r="E122" s="6">
        <v>3667.85</v>
      </c>
      <c r="F122" s="6">
        <v>4571.12</v>
      </c>
      <c r="G122" s="6">
        <v>5521.66</v>
      </c>
      <c r="H122" s="10">
        <f t="shared" si="6"/>
        <v>4.7424794798949045E-2</v>
      </c>
      <c r="I122" s="10">
        <f t="shared" si="7"/>
        <v>2.5542188004868845E-2</v>
      </c>
      <c r="J122" s="10">
        <f t="shared" si="8"/>
        <v>3.5658874875602806E-2</v>
      </c>
      <c r="K122" s="10">
        <f t="shared" si="9"/>
        <v>4.5547319117716818E-2</v>
      </c>
      <c r="L122" s="10">
        <f t="shared" si="10"/>
        <v>5.6764115589617269E-2</v>
      </c>
    </row>
    <row r="123" spans="1:12" ht="18" x14ac:dyDescent="0.2">
      <c r="A123" s="2" t="s">
        <v>123</v>
      </c>
      <c r="B123" s="6">
        <v>1087.8</v>
      </c>
      <c r="C123" s="4">
        <v>384.41</v>
      </c>
      <c r="D123" s="4">
        <v>669.31</v>
      </c>
      <c r="E123" s="6">
        <v>1050.82</v>
      </c>
      <c r="F123" s="6">
        <v>1523.47</v>
      </c>
      <c r="G123" s="6">
        <v>1639.16</v>
      </c>
      <c r="H123" s="10">
        <f t="shared" si="6"/>
        <v>1.350828788970442E-2</v>
      </c>
      <c r="I123" s="10">
        <f t="shared" si="7"/>
        <v>4.7735989590745329E-3</v>
      </c>
      <c r="J123" s="10">
        <f t="shared" si="8"/>
        <v>8.3114838825685457E-3</v>
      </c>
      <c r="K123" s="10">
        <f t="shared" si="9"/>
        <v>1.3049070674994665E-2</v>
      </c>
      <c r="L123" s="10">
        <f t="shared" si="10"/>
        <v>1.8918432939260887E-2</v>
      </c>
    </row>
    <row r="124" spans="1:12" ht="18" x14ac:dyDescent="0.2">
      <c r="A124" s="2" t="s">
        <v>124</v>
      </c>
      <c r="B124" s="4">
        <v>500.22</v>
      </c>
      <c r="C124" s="4">
        <v>410.72</v>
      </c>
      <c r="D124" s="4">
        <v>411.9</v>
      </c>
      <c r="E124" s="4">
        <v>452.07</v>
      </c>
      <c r="F124" s="4">
        <v>506.58</v>
      </c>
      <c r="G124" s="4">
        <v>719.03</v>
      </c>
      <c r="H124" s="10">
        <f t="shared" si="6"/>
        <v>6.2117262071961256E-3</v>
      </c>
      <c r="I124" s="10">
        <f t="shared" si="7"/>
        <v>5.1003162364951279E-3</v>
      </c>
      <c r="J124" s="10">
        <f t="shared" si="8"/>
        <v>5.1149694629244813E-3</v>
      </c>
      <c r="K124" s="10">
        <f t="shared" si="9"/>
        <v>5.6138000609474879E-3</v>
      </c>
      <c r="L124" s="10">
        <f t="shared" si="10"/>
        <v>6.2907046140526432E-3</v>
      </c>
    </row>
    <row r="125" spans="1:12" ht="18" x14ac:dyDescent="0.2">
      <c r="A125" s="2" t="s">
        <v>125</v>
      </c>
      <c r="B125" s="4">
        <v>192.8</v>
      </c>
      <c r="C125" s="4">
        <v>100.58</v>
      </c>
      <c r="D125" s="4">
        <v>225</v>
      </c>
      <c r="E125" s="4">
        <v>139.5</v>
      </c>
      <c r="F125" s="4">
        <v>237.12</v>
      </c>
      <c r="G125" s="4">
        <v>256.72000000000003</v>
      </c>
      <c r="H125" s="10">
        <f t="shared" si="6"/>
        <v>2.3941881826944405E-3</v>
      </c>
      <c r="I125" s="10">
        <f t="shared" si="7"/>
        <v>1.2490012832749315E-3</v>
      </c>
      <c r="J125" s="10">
        <f t="shared" si="8"/>
        <v>2.7940474123768107E-3</v>
      </c>
      <c r="K125" s="10">
        <f t="shared" si="9"/>
        <v>1.7323093956736226E-3</v>
      </c>
      <c r="L125" s="10">
        <f t="shared" si="10"/>
        <v>2.9445534329901749E-3</v>
      </c>
    </row>
    <row r="126" spans="1:12" ht="18" x14ac:dyDescent="0.2">
      <c r="A126" s="1"/>
      <c r="B126" s="4"/>
      <c r="C126" s="4"/>
      <c r="D126" s="4"/>
      <c r="E126" s="4"/>
      <c r="F126" s="4"/>
      <c r="G126" s="4"/>
      <c r="H126" s="10">
        <f t="shared" si="6"/>
        <v>0</v>
      </c>
      <c r="I126" s="10">
        <f t="shared" si="7"/>
        <v>0</v>
      </c>
      <c r="J126" s="10">
        <f t="shared" si="8"/>
        <v>0</v>
      </c>
      <c r="K126" s="10">
        <f t="shared" si="9"/>
        <v>0</v>
      </c>
      <c r="L126" s="10">
        <f t="shared" si="10"/>
        <v>0</v>
      </c>
    </row>
    <row r="127" spans="1:12" ht="18" x14ac:dyDescent="0.2">
      <c r="A127" s="2" t="s">
        <v>126</v>
      </c>
      <c r="B127" s="6">
        <v>3751.92</v>
      </c>
      <c r="C127" s="6">
        <v>1563.82</v>
      </c>
      <c r="D127" s="6">
        <v>2531.12</v>
      </c>
      <c r="E127" s="6">
        <v>3030.57</v>
      </c>
      <c r="F127" s="6">
        <v>4601.74</v>
      </c>
      <c r="G127" s="6">
        <v>6611.05</v>
      </c>
      <c r="H127" s="10">
        <f t="shared" si="6"/>
        <v>4.6591299410865795E-2</v>
      </c>
      <c r="I127" s="10">
        <f t="shared" si="7"/>
        <v>1.9419498775213793E-2</v>
      </c>
      <c r="J127" s="10">
        <f t="shared" si="8"/>
        <v>3.143141905073419E-2</v>
      </c>
      <c r="K127" s="10">
        <f t="shared" si="9"/>
        <v>3.7633583406785742E-2</v>
      </c>
      <c r="L127" s="10">
        <f t="shared" si="10"/>
        <v>5.7144354397470502E-2</v>
      </c>
    </row>
    <row r="128" spans="1:12" ht="18" x14ac:dyDescent="0.2">
      <c r="A128" s="2" t="s">
        <v>127</v>
      </c>
      <c r="B128" s="4">
        <v>815.59</v>
      </c>
      <c r="C128" s="4">
        <v>278.07</v>
      </c>
      <c r="D128" s="4">
        <v>269.62</v>
      </c>
      <c r="E128" s="4">
        <v>529.88</v>
      </c>
      <c r="F128" s="4">
        <v>928.22</v>
      </c>
      <c r="G128" s="6">
        <v>1939.65</v>
      </c>
      <c r="H128" s="10">
        <f t="shared" si="6"/>
        <v>1.0127987240268458E-2</v>
      </c>
      <c r="I128" s="10">
        <f t="shared" si="7"/>
        <v>3.4530700620427541E-3</v>
      </c>
      <c r="J128" s="10">
        <f t="shared" si="8"/>
        <v>3.348138059222381E-3</v>
      </c>
      <c r="K128" s="10">
        <f t="shared" si="9"/>
        <v>6.5800437460898859E-3</v>
      </c>
      <c r="L128" s="10">
        <f t="shared" si="10"/>
        <v>1.1526625284961792E-2</v>
      </c>
    </row>
    <row r="129" spans="1:12" ht="18" x14ac:dyDescent="0.2">
      <c r="A129" s="2" t="s">
        <v>128</v>
      </c>
      <c r="B129" s="6">
        <v>1126.8699999999999</v>
      </c>
      <c r="C129" s="4">
        <v>653.84</v>
      </c>
      <c r="D129" s="4">
        <v>885.59</v>
      </c>
      <c r="E129" s="6">
        <v>1126.81</v>
      </c>
      <c r="F129" s="6">
        <v>1242.8599999999999</v>
      </c>
      <c r="G129" s="6">
        <v>1646.99</v>
      </c>
      <c r="H129" s="10">
        <f t="shared" si="6"/>
        <v>1.3993458700378028E-2</v>
      </c>
      <c r="I129" s="10">
        <f t="shared" si="7"/>
        <v>8.1193776004820171E-3</v>
      </c>
      <c r="J129" s="10">
        <f t="shared" si="8"/>
        <v>1.0997246435230132E-2</v>
      </c>
      <c r="K129" s="10">
        <f t="shared" si="9"/>
        <v>1.3992713621068062E-2</v>
      </c>
      <c r="L129" s="10">
        <f t="shared" si="10"/>
        <v>1.5433821186429521E-2</v>
      </c>
    </row>
    <row r="130" spans="1:12" ht="18" x14ac:dyDescent="0.2">
      <c r="A130" s="2" t="s">
        <v>129</v>
      </c>
      <c r="B130" s="6">
        <v>1085.23</v>
      </c>
      <c r="C130" s="4">
        <v>538.39</v>
      </c>
      <c r="D130" s="6">
        <v>1058.4000000000001</v>
      </c>
      <c r="E130" s="6">
        <v>1055.51</v>
      </c>
      <c r="F130" s="6">
        <v>1203.26</v>
      </c>
      <c r="G130" s="6">
        <v>1500.47</v>
      </c>
      <c r="H130" s="10">
        <f t="shared" si="6"/>
        <v>1.3476373659260828E-2</v>
      </c>
      <c r="I130" s="10">
        <f t="shared" si="7"/>
        <v>6.6857208282202268E-3</v>
      </c>
      <c r="J130" s="10">
        <f t="shared" si="8"/>
        <v>1.3143199027820518E-2</v>
      </c>
      <c r="K130" s="10">
        <f t="shared" si="9"/>
        <v>1.3107311041057099E-2</v>
      </c>
      <c r="L130" s="10">
        <f t="shared" si="10"/>
        <v>1.4942068841851204E-2</v>
      </c>
    </row>
    <row r="131" spans="1:12" ht="18" x14ac:dyDescent="0.2">
      <c r="A131" s="2" t="s">
        <v>130</v>
      </c>
      <c r="B131" s="4">
        <v>866.94</v>
      </c>
      <c r="C131" s="4">
        <v>474.63</v>
      </c>
      <c r="D131" s="4">
        <v>770.02</v>
      </c>
      <c r="E131" s="4">
        <v>810.15</v>
      </c>
      <c r="F131" s="4">
        <v>987.37</v>
      </c>
      <c r="G131" s="6">
        <v>1238.45</v>
      </c>
      <c r="H131" s="10">
        <f t="shared" si="6"/>
        <v>1.0765650949715344E-2</v>
      </c>
      <c r="I131" s="10">
        <f t="shared" si="7"/>
        <v>5.8939498814951363E-3</v>
      </c>
      <c r="J131" s="10">
        <f t="shared" si="8"/>
        <v>9.5620995043484078E-3</v>
      </c>
      <c r="K131" s="10">
        <f t="shared" si="9"/>
        <v>1.0060433382831436E-2</v>
      </c>
      <c r="L131" s="10">
        <f t="shared" si="10"/>
        <v>1.2261149304704407E-2</v>
      </c>
    </row>
    <row r="132" spans="1:12" ht="18" x14ac:dyDescent="0.2">
      <c r="A132" s="2" t="s">
        <v>131</v>
      </c>
      <c r="B132" s="4">
        <v>218.29</v>
      </c>
      <c r="C132" s="4">
        <v>63.76</v>
      </c>
      <c r="D132" s="4">
        <v>288.38</v>
      </c>
      <c r="E132" s="4">
        <v>245.35</v>
      </c>
      <c r="F132" s="4">
        <v>215.88</v>
      </c>
      <c r="G132" s="4">
        <v>262.01</v>
      </c>
      <c r="H132" s="10">
        <f t="shared" si="6"/>
        <v>2.710722709545484E-3</v>
      </c>
      <c r="I132" s="10">
        <f t="shared" si="7"/>
        <v>7.9177094672509081E-4</v>
      </c>
      <c r="J132" s="10">
        <f t="shared" si="8"/>
        <v>3.5810995234721093E-3</v>
      </c>
      <c r="K132" s="10">
        <f t="shared" si="9"/>
        <v>3.0467534783406689E-3</v>
      </c>
      <c r="L132" s="10">
        <f t="shared" si="10"/>
        <v>2.6807953572618036E-3</v>
      </c>
    </row>
    <row r="133" spans="1:12" ht="18" x14ac:dyDescent="0.2">
      <c r="A133" s="2" t="s">
        <v>132</v>
      </c>
      <c r="B133" s="4">
        <v>724.23</v>
      </c>
      <c r="C133" s="4">
        <v>93.52</v>
      </c>
      <c r="D133" s="4">
        <v>317.51</v>
      </c>
      <c r="E133" s="4">
        <v>318.38</v>
      </c>
      <c r="F133" s="6">
        <v>1227.4100000000001</v>
      </c>
      <c r="G133" s="6">
        <v>1523.94</v>
      </c>
      <c r="H133" s="10">
        <f t="shared" si="6"/>
        <v>8.9934798109584779E-3</v>
      </c>
      <c r="I133" s="10">
        <f t="shared" si="7"/>
        <v>1.161330284468797E-3</v>
      </c>
      <c r="J133" s="10">
        <f t="shared" si="8"/>
        <v>3.9428355284611607E-3</v>
      </c>
      <c r="K133" s="10">
        <f t="shared" si="9"/>
        <v>3.9536391784556844E-3</v>
      </c>
      <c r="L133" s="10">
        <f t="shared" si="10"/>
        <v>1.5241963264112984E-2</v>
      </c>
    </row>
    <row r="134" spans="1:12" ht="18" x14ac:dyDescent="0.2">
      <c r="A134" s="1"/>
      <c r="B134" s="4"/>
      <c r="C134" s="4"/>
      <c r="D134" s="4"/>
      <c r="E134" s="4"/>
      <c r="F134" s="4"/>
      <c r="G134" s="4"/>
      <c r="H134" s="10">
        <f t="shared" si="6"/>
        <v>0</v>
      </c>
      <c r="I134" s="10">
        <f t="shared" si="7"/>
        <v>0</v>
      </c>
      <c r="J134" s="10">
        <f t="shared" si="8"/>
        <v>0</v>
      </c>
      <c r="K134" s="10">
        <f t="shared" si="9"/>
        <v>0</v>
      </c>
      <c r="L134" s="10">
        <f t="shared" si="10"/>
        <v>0</v>
      </c>
    </row>
    <row r="135" spans="1:12" ht="18" x14ac:dyDescent="0.2">
      <c r="A135" s="2" t="s">
        <v>133</v>
      </c>
      <c r="B135" s="4">
        <v>978.79</v>
      </c>
      <c r="C135" s="4">
        <v>502.32</v>
      </c>
      <c r="D135" s="4">
        <v>699.42</v>
      </c>
      <c r="E135" s="6">
        <v>1033.1199999999999</v>
      </c>
      <c r="F135" s="6">
        <v>1166.81</v>
      </c>
      <c r="G135" s="6">
        <v>1436.66</v>
      </c>
      <c r="H135" s="10">
        <f t="shared" si="6"/>
        <v>1.2154602963379104E-2</v>
      </c>
      <c r="I135" s="10">
        <f t="shared" si="7"/>
        <v>6.2378039830449754E-3</v>
      </c>
      <c r="J135" s="10">
        <f t="shared" si="8"/>
        <v>8.6853895162870617E-3</v>
      </c>
      <c r="K135" s="10">
        <f t="shared" si="9"/>
        <v>1.2829272278554356E-2</v>
      </c>
      <c r="L135" s="10">
        <f t="shared" si="10"/>
        <v>1.448943316104616E-2</v>
      </c>
    </row>
    <row r="136" spans="1:12" ht="18" x14ac:dyDescent="0.2">
      <c r="A136" s="1"/>
      <c r="B136" s="4"/>
      <c r="C136" s="4"/>
      <c r="D136" s="4"/>
      <c r="E136" s="4"/>
      <c r="F136" s="4"/>
      <c r="G136" s="4"/>
      <c r="H136" s="10">
        <f t="shared" si="6"/>
        <v>0</v>
      </c>
      <c r="I136" s="10">
        <f t="shared" si="7"/>
        <v>0</v>
      </c>
      <c r="J136" s="10">
        <f t="shared" si="8"/>
        <v>0</v>
      </c>
      <c r="K136" s="10">
        <f t="shared" si="9"/>
        <v>0</v>
      </c>
      <c r="L136" s="10">
        <f t="shared" si="10"/>
        <v>0</v>
      </c>
    </row>
    <row r="137" spans="1:12" ht="18" x14ac:dyDescent="0.2">
      <c r="A137" s="2" t="s">
        <v>134</v>
      </c>
      <c r="B137" s="4">
        <v>130.65</v>
      </c>
      <c r="C137" s="4">
        <v>79.099999999999994</v>
      </c>
      <c r="D137" s="4">
        <v>122.44</v>
      </c>
      <c r="E137" s="4">
        <v>105.6</v>
      </c>
      <c r="F137" s="4">
        <v>153.72999999999999</v>
      </c>
      <c r="G137" s="4">
        <v>186.36</v>
      </c>
      <c r="H137" s="10">
        <f t="shared" si="6"/>
        <v>1.622410197453468E-3</v>
      </c>
      <c r="I137" s="10">
        <f t="shared" si="7"/>
        <v>9.8226289030669211E-4</v>
      </c>
      <c r="J137" s="10">
        <f t="shared" si="8"/>
        <v>1.520458511872963E-3</v>
      </c>
      <c r="K137" s="10">
        <f t="shared" si="9"/>
        <v>1.311339585542183E-3</v>
      </c>
      <c r="L137" s="10">
        <f t="shared" si="10"/>
        <v>1.9090173720208313E-3</v>
      </c>
    </row>
    <row r="138" spans="1:12" ht="18" x14ac:dyDescent="0.2">
      <c r="A138" s="1"/>
      <c r="B138" s="4"/>
      <c r="C138" s="4"/>
      <c r="D138" s="4"/>
      <c r="E138" s="4"/>
      <c r="F138" s="4"/>
      <c r="G138" s="4"/>
      <c r="H138" s="10">
        <f t="shared" si="6"/>
        <v>0</v>
      </c>
      <c r="I138" s="10">
        <f t="shared" si="7"/>
        <v>0</v>
      </c>
      <c r="J138" s="10">
        <f t="shared" si="8"/>
        <v>0</v>
      </c>
      <c r="K138" s="10">
        <f t="shared" si="9"/>
        <v>0</v>
      </c>
      <c r="L138" s="10">
        <f t="shared" si="10"/>
        <v>0</v>
      </c>
    </row>
    <row r="139" spans="1:12" ht="18" x14ac:dyDescent="0.2">
      <c r="A139" s="2" t="s">
        <v>135</v>
      </c>
      <c r="B139" s="6">
        <v>1482.14</v>
      </c>
      <c r="C139" s="6">
        <v>1196.8499999999999</v>
      </c>
      <c r="D139" s="4">
        <v>463.81</v>
      </c>
      <c r="E139" s="4">
        <v>666.6</v>
      </c>
      <c r="F139" s="6">
        <v>1184.69</v>
      </c>
      <c r="G139" s="6">
        <v>3783.07</v>
      </c>
      <c r="H139" s="10">
        <f t="shared" si="6"/>
        <v>1.8405197474578517E-2</v>
      </c>
      <c r="I139" s="10">
        <f t="shared" si="7"/>
        <v>1.4862469535569713E-2</v>
      </c>
      <c r="J139" s="10">
        <f t="shared" si="8"/>
        <v>5.7595872459310603E-3</v>
      </c>
      <c r="K139" s="10">
        <f t="shared" si="9"/>
        <v>8.2778311337350311E-3</v>
      </c>
      <c r="L139" s="10">
        <f t="shared" si="10"/>
        <v>1.4711466795416373E-2</v>
      </c>
    </row>
    <row r="140" spans="1:12" ht="18" x14ac:dyDescent="0.2">
      <c r="A140" s="1"/>
      <c r="B140" s="4"/>
      <c r="C140" s="4"/>
      <c r="D140" s="4"/>
      <c r="E140" s="4"/>
      <c r="F140" s="4"/>
      <c r="G140" s="4"/>
      <c r="H140" s="10">
        <f t="shared" si="6"/>
        <v>0</v>
      </c>
      <c r="I140" s="10">
        <f t="shared" si="7"/>
        <v>0</v>
      </c>
      <c r="J140" s="10">
        <f t="shared" si="8"/>
        <v>0</v>
      </c>
      <c r="K140" s="10">
        <f t="shared" si="9"/>
        <v>0</v>
      </c>
      <c r="L140" s="10">
        <f t="shared" si="10"/>
        <v>0</v>
      </c>
    </row>
    <row r="141" spans="1:12" ht="18" x14ac:dyDescent="0.2">
      <c r="A141" s="2" t="s">
        <v>136</v>
      </c>
      <c r="B141" s="4">
        <v>241.45</v>
      </c>
      <c r="C141" s="4">
        <v>286.12</v>
      </c>
      <c r="D141" s="4">
        <v>275.95</v>
      </c>
      <c r="E141" s="4">
        <v>213.25</v>
      </c>
      <c r="F141" s="4">
        <v>270.64999999999998</v>
      </c>
      <c r="G141" s="4">
        <v>172.35</v>
      </c>
      <c r="H141" s="10">
        <f t="shared" si="6"/>
        <v>2.9983233231928039E-3</v>
      </c>
      <c r="I141" s="10">
        <f t="shared" si="7"/>
        <v>3.5530348694633469E-3</v>
      </c>
      <c r="J141" s="10">
        <f t="shared" si="8"/>
        <v>3.4267439264239149E-3</v>
      </c>
      <c r="K141" s="10">
        <f t="shared" si="9"/>
        <v>2.6481360475082436E-3</v>
      </c>
      <c r="L141" s="10">
        <f t="shared" si="10"/>
        <v>3.3609285873768165E-3</v>
      </c>
    </row>
    <row r="142" spans="1:12" ht="18" x14ac:dyDescent="0.2">
      <c r="A142" s="1"/>
      <c r="B142" s="4"/>
      <c r="C142" s="4"/>
      <c r="D142" s="4"/>
      <c r="E142" s="4"/>
      <c r="F142" s="4"/>
      <c r="G142" s="4"/>
      <c r="H142" s="10">
        <f t="shared" si="6"/>
        <v>0</v>
      </c>
      <c r="I142" s="10">
        <f t="shared" si="7"/>
        <v>0</v>
      </c>
      <c r="J142" s="10">
        <f t="shared" si="8"/>
        <v>0</v>
      </c>
      <c r="K142" s="10">
        <f t="shared" si="9"/>
        <v>0</v>
      </c>
      <c r="L142" s="10">
        <f t="shared" si="10"/>
        <v>0</v>
      </c>
    </row>
    <row r="143" spans="1:12" ht="18" x14ac:dyDescent="0.2">
      <c r="A143" s="2" t="s">
        <v>137</v>
      </c>
      <c r="B143" s="6">
        <v>1023.11</v>
      </c>
      <c r="C143" s="4">
        <v>608.54999999999995</v>
      </c>
      <c r="D143" s="4">
        <v>685.52</v>
      </c>
      <c r="E143" s="4">
        <v>762.27</v>
      </c>
      <c r="F143" s="6">
        <v>1117.8900000000001</v>
      </c>
      <c r="G143" s="6">
        <v>1851.73</v>
      </c>
      <c r="H143" s="10">
        <f t="shared" si="6"/>
        <v>1.2704968213674839E-2</v>
      </c>
      <c r="I143" s="10">
        <f t="shared" si="7"/>
        <v>7.5569669013418128E-3</v>
      </c>
      <c r="J143" s="10">
        <f t="shared" si="8"/>
        <v>8.5127794761446721E-3</v>
      </c>
      <c r="K143" s="10">
        <f t="shared" si="9"/>
        <v>9.4658600934776505E-3</v>
      </c>
      <c r="L143" s="10">
        <f t="shared" si="10"/>
        <v>1.3881945163652947E-2</v>
      </c>
    </row>
    <row r="144" spans="1:12" ht="18" x14ac:dyDescent="0.2">
      <c r="A144" s="1"/>
      <c r="B144" s="4"/>
      <c r="C144" s="4"/>
      <c r="D144" s="4"/>
      <c r="E144" s="4"/>
      <c r="F144" s="4"/>
      <c r="G144" s="4"/>
      <c r="H144" s="11">
        <f>H143+H97+H64+H95+H89+H108+H78+H80+H91</f>
        <v>0.29739728895442269</v>
      </c>
      <c r="I144" s="11">
        <f>I143+I97+I64+I95+I89+I108+I78+I80+I91+I93</f>
        <v>0.141029729409547</v>
      </c>
      <c r="J144" s="11">
        <f t="shared" ref="I144:L144" si="11">J143+J97+J64+J95+J89+J108+J78+J80+J91</f>
        <v>0.20467639094510082</v>
      </c>
      <c r="K144" s="11">
        <f t="shared" si="11"/>
        <v>0.26663147408725923</v>
      </c>
      <c r="L144" s="11">
        <f t="shared" si="11"/>
        <v>0.34257517291428091</v>
      </c>
    </row>
    <row r="145" spans="1:7" ht="18" x14ac:dyDescent="0.2">
      <c r="A145" s="2" t="s">
        <v>138</v>
      </c>
      <c r="B145" s="6">
        <v>1934.2</v>
      </c>
      <c r="C145" s="4">
        <v>808.13</v>
      </c>
      <c r="D145" s="6">
        <v>1087.7</v>
      </c>
      <c r="E145" s="6">
        <v>1398.16</v>
      </c>
      <c r="F145" s="6">
        <v>1607.85</v>
      </c>
      <c r="G145" s="6">
        <v>4519.93</v>
      </c>
    </row>
    <row r="146" spans="1:7" ht="18" x14ac:dyDescent="0.2">
      <c r="A146" s="1"/>
      <c r="B146" s="4"/>
      <c r="C146" s="4"/>
      <c r="D146" s="4"/>
      <c r="E146" s="4"/>
      <c r="F146" s="4"/>
      <c r="G146" s="4"/>
    </row>
    <row r="147" spans="1:7" ht="18" x14ac:dyDescent="0.2">
      <c r="A147" s="2" t="s">
        <v>139</v>
      </c>
      <c r="B147" s="6">
        <v>9425.2000000000007</v>
      </c>
      <c r="C147" s="4">
        <v>796.99</v>
      </c>
      <c r="D147" s="6">
        <v>2813.41</v>
      </c>
      <c r="E147" s="6">
        <v>6024.68</v>
      </c>
      <c r="F147" s="6">
        <v>11228.52</v>
      </c>
      <c r="G147" s="6">
        <v>24188.36</v>
      </c>
    </row>
    <row r="148" spans="1:7" ht="18" x14ac:dyDescent="0.2">
      <c r="A148" s="2" t="s">
        <v>140</v>
      </c>
      <c r="B148" s="4">
        <v>448.09</v>
      </c>
      <c r="C148" s="4">
        <v>146.19</v>
      </c>
      <c r="D148" s="4">
        <v>226.74</v>
      </c>
      <c r="E148" s="4">
        <v>298.38</v>
      </c>
      <c r="F148" s="4">
        <v>494.66</v>
      </c>
      <c r="G148" s="6">
        <v>1004.81</v>
      </c>
    </row>
    <row r="149" spans="1:7" ht="18" x14ac:dyDescent="0.2">
      <c r="A149" s="2" t="s">
        <v>141</v>
      </c>
      <c r="B149" s="6">
        <v>8977.11</v>
      </c>
      <c r="C149" s="4">
        <v>650.79999999999995</v>
      </c>
      <c r="D149" s="6">
        <v>2586.66</v>
      </c>
      <c r="E149" s="6">
        <v>5726.3</v>
      </c>
      <c r="F149" s="6">
        <v>10733.86</v>
      </c>
      <c r="G149" s="6">
        <v>23183.55</v>
      </c>
    </row>
    <row r="150" spans="1:7" ht="18" x14ac:dyDescent="0.2">
      <c r="A150" s="1"/>
      <c r="B150" s="4"/>
      <c r="C150" s="4"/>
      <c r="D150" s="4"/>
      <c r="E150" s="4"/>
      <c r="F150" s="4"/>
      <c r="G150" s="4"/>
    </row>
    <row r="151" spans="1:7" ht="18" x14ac:dyDescent="0.2">
      <c r="A151" s="2" t="s">
        <v>142</v>
      </c>
      <c r="B151" s="4"/>
      <c r="C151" s="4"/>
      <c r="D151" s="4"/>
      <c r="E151" s="4"/>
      <c r="F151" s="4"/>
      <c r="G151" s="4"/>
    </row>
    <row r="152" spans="1:7" ht="18" x14ac:dyDescent="0.2">
      <c r="A152" s="2" t="s">
        <v>9</v>
      </c>
      <c r="B152" s="6">
        <v>104398.98</v>
      </c>
      <c r="C152" s="6">
        <v>15102.74</v>
      </c>
      <c r="D152" s="6">
        <v>41320.769999999997</v>
      </c>
      <c r="E152" s="6">
        <v>71963.78</v>
      </c>
      <c r="F152" s="6">
        <v>117021.36</v>
      </c>
      <c r="G152" s="6">
        <v>255841.59</v>
      </c>
    </row>
    <row r="153" spans="1:7" ht="18" x14ac:dyDescent="0.2">
      <c r="A153" s="2" t="s">
        <v>143</v>
      </c>
      <c r="B153" s="6">
        <v>82023.320000000007</v>
      </c>
      <c r="C153" s="6">
        <v>4928.1099999999997</v>
      </c>
      <c r="D153" s="6">
        <v>25492.31</v>
      </c>
      <c r="E153" s="6">
        <v>55413.82</v>
      </c>
      <c r="F153" s="6">
        <v>92784.45</v>
      </c>
      <c r="G153" s="6">
        <v>213280.88</v>
      </c>
    </row>
    <row r="154" spans="1:7" ht="18" x14ac:dyDescent="0.2">
      <c r="A154" s="2" t="s">
        <v>144</v>
      </c>
      <c r="B154" s="6">
        <v>8213.43</v>
      </c>
      <c r="C154" s="4">
        <v>935.65</v>
      </c>
      <c r="D154" s="6">
        <v>1889.64</v>
      </c>
      <c r="E154" s="6">
        <v>3454.52</v>
      </c>
      <c r="F154" s="6">
        <v>7453.15</v>
      </c>
      <c r="G154" s="6">
        <v>25631.49</v>
      </c>
    </row>
    <row r="155" spans="1:7" ht="18" x14ac:dyDescent="0.2">
      <c r="A155" s="2" t="s">
        <v>145</v>
      </c>
      <c r="B155" s="6">
        <v>9163.1200000000008</v>
      </c>
      <c r="C155" s="6">
        <v>6209.23</v>
      </c>
      <c r="D155" s="6">
        <v>10400.01</v>
      </c>
      <c r="E155" s="6">
        <v>9828.77</v>
      </c>
      <c r="F155" s="6">
        <v>11544.28</v>
      </c>
      <c r="G155" s="6">
        <v>7433.06</v>
      </c>
    </row>
    <row r="156" spans="1:7" ht="18" x14ac:dyDescent="0.2">
      <c r="A156" s="2" t="s">
        <v>146</v>
      </c>
      <c r="B156" s="6">
        <v>2938.56</v>
      </c>
      <c r="C156" s="4">
        <v>317.5</v>
      </c>
      <c r="D156" s="4">
        <v>739.14</v>
      </c>
      <c r="E156" s="6">
        <v>1447.05</v>
      </c>
      <c r="F156" s="6">
        <v>3340.58</v>
      </c>
      <c r="G156" s="6">
        <v>8217.18</v>
      </c>
    </row>
    <row r="157" spans="1:7" ht="18" x14ac:dyDescent="0.2">
      <c r="A157" s="2" t="s">
        <v>147</v>
      </c>
      <c r="B157" s="4">
        <v>642.92999999999995</v>
      </c>
      <c r="C157" s="6">
        <v>1491.35</v>
      </c>
      <c r="D157" s="6">
        <v>1130.9100000000001</v>
      </c>
      <c r="E157" s="4">
        <v>332.38</v>
      </c>
      <c r="F157" s="4">
        <v>338.66</v>
      </c>
      <c r="G157" s="4">
        <v>134.37</v>
      </c>
    </row>
    <row r="158" spans="1:7" ht="18" x14ac:dyDescent="0.2">
      <c r="A158" s="2" t="s">
        <v>148</v>
      </c>
      <c r="B158" s="6">
        <v>1108.8800000000001</v>
      </c>
      <c r="C158" s="4">
        <v>664.31</v>
      </c>
      <c r="D158" s="6">
        <v>1331.27</v>
      </c>
      <c r="E158" s="6">
        <v>1304.3599999999999</v>
      </c>
      <c r="F158" s="6">
        <v>1239.6199999999999</v>
      </c>
      <c r="G158" s="4">
        <v>951.68</v>
      </c>
    </row>
    <row r="159" spans="1:7" ht="18" x14ac:dyDescent="0.2">
      <c r="A159" s="2" t="s">
        <v>149</v>
      </c>
      <c r="B159" s="4">
        <v>308.75</v>
      </c>
      <c r="C159" s="4">
        <v>556.57000000000005</v>
      </c>
      <c r="D159" s="4">
        <v>337.49</v>
      </c>
      <c r="E159" s="4">
        <v>182.87</v>
      </c>
      <c r="F159" s="4">
        <v>320.62</v>
      </c>
      <c r="G159" s="4">
        <v>192.93</v>
      </c>
    </row>
    <row r="160" spans="1:7" ht="18" x14ac:dyDescent="0.2">
      <c r="A160" s="2" t="s">
        <v>158</v>
      </c>
      <c r="B160" s="6">
        <v>12285.56</v>
      </c>
      <c r="C160" s="6">
        <v>-2856.79</v>
      </c>
      <c r="D160" s="4">
        <v>-3139.81</v>
      </c>
      <c r="E160" s="4">
        <v>953.02</v>
      </c>
      <c r="F160" s="6">
        <v>9705.77</v>
      </c>
      <c r="G160" s="6">
        <v>53027.839999999997</v>
      </c>
    </row>
    <row r="161" spans="1:7" ht="18" x14ac:dyDescent="0.2">
      <c r="A161" s="2" t="s">
        <v>151</v>
      </c>
      <c r="B161" s="6">
        <v>9625.92</v>
      </c>
      <c r="C161" s="6">
        <v>-1799.21</v>
      </c>
      <c r="D161" s="6">
        <v>-1945.97</v>
      </c>
      <c r="E161" s="6">
        <v>1683.02</v>
      </c>
      <c r="F161" s="6">
        <v>8084.92</v>
      </c>
      <c r="G161" s="6">
        <v>39259.449999999997</v>
      </c>
    </row>
    <row r="162" spans="1:7" ht="18" x14ac:dyDescent="0.2">
      <c r="A162" s="2" t="s">
        <v>159</v>
      </c>
      <c r="B162" s="6">
        <v>-1305.7</v>
      </c>
      <c r="C162" s="4">
        <v>-995.71</v>
      </c>
      <c r="D162" s="6">
        <v>-1433.47</v>
      </c>
      <c r="E162" s="6">
        <v>-1781.5</v>
      </c>
      <c r="F162" s="6">
        <v>-1491.36</v>
      </c>
      <c r="G162" s="4">
        <v>-769.97</v>
      </c>
    </row>
    <row r="163" spans="1:7" ht="18" x14ac:dyDescent="0.2">
      <c r="A163" s="2" t="s">
        <v>152</v>
      </c>
      <c r="B163" s="6">
        <v>3924.65</v>
      </c>
      <c r="C163" s="4">
        <v>-74.39</v>
      </c>
      <c r="D163" s="4">
        <v>215.56</v>
      </c>
      <c r="E163" s="6">
        <v>1016.39</v>
      </c>
      <c r="F163" s="6">
        <v>3075.07</v>
      </c>
      <c r="G163" s="6">
        <v>14449.86</v>
      </c>
    </row>
    <row r="164" spans="1:7" ht="18" x14ac:dyDescent="0.2">
      <c r="A164" s="2" t="s">
        <v>153</v>
      </c>
      <c r="B164" s="4">
        <v>40.69</v>
      </c>
      <c r="C164" s="4">
        <v>12.53</v>
      </c>
      <c r="D164" s="4">
        <v>24.07</v>
      </c>
      <c r="E164" s="4">
        <v>35.119999999999997</v>
      </c>
      <c r="F164" s="4">
        <v>37.130000000000003</v>
      </c>
      <c r="G164" s="4">
        <v>88.49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F90-5F73-404B-B498-A793B111F7A7}">
  <dimension ref="A1:M164"/>
  <sheetViews>
    <sheetView topLeftCell="A129" workbookViewId="0">
      <selection activeCell="I145" sqref="I145"/>
    </sheetView>
  </sheetViews>
  <sheetFormatPr baseColWidth="10" defaultRowHeight="16" x14ac:dyDescent="0.2"/>
  <sheetData>
    <row r="1" spans="1:7" x14ac:dyDescent="0.2">
      <c r="A1" t="s">
        <v>164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14366138</v>
      </c>
      <c r="C3" s="3">
        <v>2782524</v>
      </c>
      <c r="D3" s="3">
        <v>2801158</v>
      </c>
      <c r="E3" s="3">
        <v>3084822</v>
      </c>
      <c r="F3" s="3">
        <v>2867774</v>
      </c>
      <c r="G3" s="3">
        <v>2829860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100197.04</v>
      </c>
      <c r="C5" s="5">
        <v>15019.64</v>
      </c>
      <c r="D5" s="5">
        <v>41681.440000000002</v>
      </c>
      <c r="E5" s="5">
        <v>71451.16</v>
      </c>
      <c r="F5" s="5">
        <v>115685.55</v>
      </c>
      <c r="G5" s="5">
        <v>257511.48</v>
      </c>
    </row>
    <row r="6" spans="1:7" ht="18" x14ac:dyDescent="0.2">
      <c r="A6" s="2" t="s">
        <v>10</v>
      </c>
      <c r="B6" s="4">
        <v>51.4</v>
      </c>
      <c r="C6" s="4">
        <v>57</v>
      </c>
      <c r="D6" s="4">
        <v>53.9</v>
      </c>
      <c r="E6" s="4">
        <v>48.3</v>
      </c>
      <c r="F6" s="4">
        <v>49.6</v>
      </c>
      <c r="G6" s="4">
        <v>48.5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1.9</v>
      </c>
      <c r="D8" s="4">
        <v>2.6</v>
      </c>
      <c r="E8" s="4">
        <v>2.8</v>
      </c>
      <c r="F8" s="4">
        <v>3.1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0.4</v>
      </c>
      <c r="D9" s="4">
        <v>0.6</v>
      </c>
      <c r="E9" s="4">
        <v>0.6</v>
      </c>
      <c r="F9" s="4">
        <v>0.6</v>
      </c>
      <c r="G9" s="4">
        <v>0.8</v>
      </c>
    </row>
    <row r="10" spans="1:7" ht="18" x14ac:dyDescent="0.2">
      <c r="A10" s="2" t="s">
        <v>14</v>
      </c>
      <c r="B10" s="4">
        <v>0.4</v>
      </c>
      <c r="C10" s="4">
        <v>0.5</v>
      </c>
      <c r="D10" s="4">
        <v>0.6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1.1000000000000001</v>
      </c>
      <c r="E11" s="4">
        <v>1.5</v>
      </c>
      <c r="F11" s="4">
        <v>2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1.6</v>
      </c>
      <c r="E12" s="4">
        <v>1.8</v>
      </c>
      <c r="F12" s="4">
        <v>2.4</v>
      </c>
      <c r="G12" s="4">
        <v>2.5</v>
      </c>
    </row>
    <row r="13" spans="1:7" ht="18" x14ac:dyDescent="0.2">
      <c r="A13" s="2" t="s">
        <v>155</v>
      </c>
      <c r="B13" s="4"/>
      <c r="C13" s="4"/>
      <c r="D13" s="4"/>
      <c r="E13" s="4"/>
      <c r="F13" s="4"/>
      <c r="G13" s="4"/>
    </row>
    <row r="14" spans="1:7" ht="18" x14ac:dyDescent="0.2">
      <c r="A14" s="2" t="s">
        <v>156</v>
      </c>
      <c r="B14" s="4"/>
      <c r="C14" s="4"/>
      <c r="D14" s="4"/>
      <c r="E14" s="4"/>
      <c r="F14" s="4"/>
      <c r="G14" s="4"/>
    </row>
    <row r="15" spans="1:7" ht="18" x14ac:dyDescent="0.2">
      <c r="A15" s="2" t="s">
        <v>18</v>
      </c>
      <c r="B15" s="4">
        <v>48.6</v>
      </c>
      <c r="C15" s="4">
        <v>39.700000000000003</v>
      </c>
      <c r="D15" s="4">
        <v>40.700000000000003</v>
      </c>
      <c r="E15" s="4">
        <v>50.7</v>
      </c>
      <c r="F15" s="4">
        <v>57.2</v>
      </c>
      <c r="G15" s="4">
        <v>54.4</v>
      </c>
    </row>
    <row r="16" spans="1:7" ht="18" x14ac:dyDescent="0.2">
      <c r="A16" s="2" t="s">
        <v>19</v>
      </c>
      <c r="B16" s="4">
        <v>51.4</v>
      </c>
      <c r="C16" s="4">
        <v>60.3</v>
      </c>
      <c r="D16" s="4">
        <v>59.3</v>
      </c>
      <c r="E16" s="4">
        <v>49.3</v>
      </c>
      <c r="F16" s="4">
        <v>42.8</v>
      </c>
      <c r="G16" s="4">
        <v>45.6</v>
      </c>
    </row>
    <row r="17" spans="1:7" ht="18" x14ac:dyDescent="0.2">
      <c r="A17" s="2" t="s">
        <v>157</v>
      </c>
      <c r="B17" s="4"/>
      <c r="C17" s="4"/>
      <c r="D17" s="4"/>
      <c r="E17" s="4"/>
      <c r="F17" s="4"/>
      <c r="G17" s="4"/>
    </row>
    <row r="18" spans="1:7" ht="18" x14ac:dyDescent="0.2">
      <c r="A18" s="2" t="s">
        <v>21</v>
      </c>
      <c r="B18" s="4">
        <v>54.8</v>
      </c>
      <c r="C18" s="4">
        <v>37.200000000000003</v>
      </c>
      <c r="D18" s="4">
        <v>45.8</v>
      </c>
      <c r="E18" s="4">
        <v>48</v>
      </c>
      <c r="F18" s="4">
        <v>66</v>
      </c>
      <c r="G18" s="4">
        <v>77.099999999999994</v>
      </c>
    </row>
    <row r="19" spans="1:7" ht="18" x14ac:dyDescent="0.2">
      <c r="A19" s="2" t="s">
        <v>22</v>
      </c>
      <c r="B19" s="4">
        <v>35.4</v>
      </c>
      <c r="C19" s="4">
        <v>12</v>
      </c>
      <c r="D19" s="4">
        <v>20.3</v>
      </c>
      <c r="E19" s="4">
        <v>33</v>
      </c>
      <c r="F19" s="4">
        <v>49.5</v>
      </c>
      <c r="G19" s="4">
        <v>61.5</v>
      </c>
    </row>
    <row r="20" spans="1:7" ht="18" x14ac:dyDescent="0.2">
      <c r="A20" s="2" t="s">
        <v>23</v>
      </c>
      <c r="B20" s="4">
        <v>19.399999999999999</v>
      </c>
      <c r="C20" s="4">
        <v>25.3</v>
      </c>
      <c r="D20" s="4">
        <v>25.4</v>
      </c>
      <c r="E20" s="4">
        <v>15</v>
      </c>
      <c r="F20" s="4">
        <v>16.5</v>
      </c>
      <c r="G20" s="4">
        <v>15.6</v>
      </c>
    </row>
    <row r="21" spans="1:7" ht="18" x14ac:dyDescent="0.2">
      <c r="A21" s="2" t="s">
        <v>24</v>
      </c>
      <c r="B21" s="4">
        <v>45.2</v>
      </c>
      <c r="C21" s="4">
        <v>62.8</v>
      </c>
      <c r="D21" s="4">
        <v>54.2</v>
      </c>
      <c r="E21" s="4">
        <v>52</v>
      </c>
      <c r="F21" s="4">
        <v>34</v>
      </c>
      <c r="G21" s="4">
        <v>22.9</v>
      </c>
    </row>
    <row r="22" spans="1:7" ht="18" x14ac:dyDescent="0.2">
      <c r="A22" s="2" t="s">
        <v>25</v>
      </c>
      <c r="B22" s="4"/>
      <c r="C22" s="4"/>
      <c r="D22" s="4"/>
      <c r="E22" s="4"/>
      <c r="F22" s="4"/>
      <c r="G22" s="4"/>
    </row>
    <row r="23" spans="1:7" ht="18" x14ac:dyDescent="0.2">
      <c r="A23" s="2" t="s">
        <v>26</v>
      </c>
      <c r="B23" s="4">
        <v>4.9000000000000004</v>
      </c>
      <c r="C23" s="4">
        <v>5.8</v>
      </c>
      <c r="D23" s="4">
        <v>5.0999999999999996</v>
      </c>
      <c r="E23" s="4">
        <v>7.1</v>
      </c>
      <c r="F23" s="4">
        <v>3.3</v>
      </c>
      <c r="G23" s="4">
        <v>3.2</v>
      </c>
    </row>
    <row r="24" spans="1:7" ht="18" x14ac:dyDescent="0.2">
      <c r="A24" s="2" t="s">
        <v>27</v>
      </c>
      <c r="B24" s="4">
        <v>95.1</v>
      </c>
      <c r="C24" s="4">
        <v>94.2</v>
      </c>
      <c r="D24" s="4">
        <v>94.9</v>
      </c>
      <c r="E24" s="4">
        <v>92.9</v>
      </c>
      <c r="F24" s="4">
        <v>96.7</v>
      </c>
      <c r="G24" s="4">
        <v>96.8</v>
      </c>
    </row>
    <row r="25" spans="1:7" ht="18" x14ac:dyDescent="0.2">
      <c r="A25" s="2" t="s">
        <v>28</v>
      </c>
      <c r="B25" s="4"/>
      <c r="C25" s="4"/>
      <c r="D25" s="4"/>
      <c r="E25" s="4"/>
      <c r="F25" s="4"/>
      <c r="G25" s="4"/>
    </row>
    <row r="26" spans="1:7" ht="18" x14ac:dyDescent="0.2">
      <c r="A26" s="2" t="s">
        <v>29</v>
      </c>
      <c r="B26" s="4">
        <v>30.6</v>
      </c>
      <c r="C26" s="4">
        <v>30.1</v>
      </c>
      <c r="D26" s="4">
        <v>33.4</v>
      </c>
      <c r="E26" s="4">
        <v>37.9</v>
      </c>
      <c r="F26" s="4">
        <v>29.4</v>
      </c>
      <c r="G26" s="4">
        <v>21.3</v>
      </c>
    </row>
    <row r="27" spans="1:7" ht="18" x14ac:dyDescent="0.2">
      <c r="A27" s="2" t="s">
        <v>30</v>
      </c>
      <c r="B27" s="4">
        <v>69.400000000000006</v>
      </c>
      <c r="C27" s="4">
        <v>69.900000000000006</v>
      </c>
      <c r="D27" s="4">
        <v>66.599999999999994</v>
      </c>
      <c r="E27" s="4">
        <v>62.1</v>
      </c>
      <c r="F27" s="4">
        <v>70.599999999999994</v>
      </c>
      <c r="G27" s="4">
        <v>78.7</v>
      </c>
    </row>
    <row r="28" spans="1:7" ht="18" x14ac:dyDescent="0.2">
      <c r="A28" s="2" t="s">
        <v>31</v>
      </c>
      <c r="B28" s="4"/>
      <c r="C28" s="4"/>
      <c r="D28" s="4"/>
      <c r="E28" s="4"/>
      <c r="F28" s="4"/>
      <c r="G28" s="4"/>
    </row>
    <row r="29" spans="1:7" ht="18" x14ac:dyDescent="0.2">
      <c r="A29" s="2" t="s">
        <v>32</v>
      </c>
      <c r="B29" s="4">
        <v>4</v>
      </c>
      <c r="C29" s="4">
        <v>7.3</v>
      </c>
      <c r="D29" s="4">
        <v>6.5</v>
      </c>
      <c r="E29" s="4">
        <v>3.6</v>
      </c>
      <c r="F29" s="4">
        <v>2.8</v>
      </c>
      <c r="G29" s="4">
        <v>0</v>
      </c>
    </row>
    <row r="30" spans="1:7" ht="18" x14ac:dyDescent="0.2">
      <c r="A30" s="2" t="s">
        <v>33</v>
      </c>
      <c r="B30" s="4">
        <v>24</v>
      </c>
      <c r="C30" s="4">
        <v>32.9</v>
      </c>
      <c r="D30" s="4">
        <v>29.3</v>
      </c>
      <c r="E30" s="4">
        <v>26.9</v>
      </c>
      <c r="F30" s="4">
        <v>22.5</v>
      </c>
      <c r="G30" s="4">
        <v>8.6</v>
      </c>
    </row>
    <row r="31" spans="1:7" ht="18" x14ac:dyDescent="0.2">
      <c r="A31" s="2" t="s">
        <v>34</v>
      </c>
      <c r="B31" s="4">
        <v>71.3</v>
      </c>
      <c r="C31" s="4">
        <v>58.4</v>
      </c>
      <c r="D31" s="4">
        <v>63.4</v>
      </c>
      <c r="E31" s="4">
        <v>68.599999999999994</v>
      </c>
      <c r="F31" s="4">
        <v>74.400000000000006</v>
      </c>
      <c r="G31" s="4">
        <v>91.4</v>
      </c>
    </row>
    <row r="32" spans="1:7" ht="18" x14ac:dyDescent="0.2">
      <c r="A32" s="2" t="s">
        <v>35</v>
      </c>
      <c r="B32" s="4">
        <v>0.7</v>
      </c>
      <c r="C32" s="4">
        <v>1.5</v>
      </c>
      <c r="D32" s="4">
        <v>0.8</v>
      </c>
      <c r="E32" s="4">
        <v>0.8</v>
      </c>
      <c r="F32" s="4">
        <v>0.3</v>
      </c>
      <c r="G32" s="4">
        <v>0</v>
      </c>
    </row>
    <row r="33" spans="1:13" ht="18" x14ac:dyDescent="0.2">
      <c r="A33" s="2" t="s">
        <v>36</v>
      </c>
      <c r="B33" s="4">
        <v>92.1</v>
      </c>
      <c r="C33" s="4">
        <v>77.599999999999994</v>
      </c>
      <c r="D33" s="4">
        <v>93.1</v>
      </c>
      <c r="E33" s="4">
        <v>94.9</v>
      </c>
      <c r="F33" s="4">
        <v>97.3</v>
      </c>
      <c r="G33" s="4">
        <v>96.8</v>
      </c>
    </row>
    <row r="34" spans="1:13" ht="18" x14ac:dyDescent="0.2">
      <c r="A34" s="1"/>
      <c r="B34" s="4"/>
      <c r="C34" s="4"/>
      <c r="D34" s="4"/>
      <c r="E34" s="4"/>
      <c r="F34" s="4"/>
      <c r="G34" s="4"/>
    </row>
    <row r="35" spans="1:13" ht="18" x14ac:dyDescent="0.2">
      <c r="A35" s="2" t="s">
        <v>37</v>
      </c>
      <c r="B35" s="5">
        <v>72468.429999999993</v>
      </c>
      <c r="C35" s="5">
        <v>35374</v>
      </c>
      <c r="D35" s="5">
        <v>48278.07</v>
      </c>
      <c r="E35" s="5">
        <v>62911.54</v>
      </c>
      <c r="F35" s="5">
        <v>85018.79</v>
      </c>
      <c r="G35" s="5">
        <v>131101.37</v>
      </c>
    </row>
    <row r="36" spans="1:13" ht="18" x14ac:dyDescent="0.2">
      <c r="A36" s="2" t="s">
        <v>38</v>
      </c>
      <c r="B36" s="6">
        <v>9097.2199999999993</v>
      </c>
      <c r="C36" s="6">
        <v>5167.38</v>
      </c>
      <c r="D36" s="6">
        <v>6494.89</v>
      </c>
      <c r="E36" s="6">
        <v>8852.9699999999993</v>
      </c>
      <c r="F36" s="6">
        <v>10797.21</v>
      </c>
      <c r="G36" s="6">
        <v>14298.1</v>
      </c>
      <c r="H36" s="10">
        <f>B36/$B$35</f>
        <v>0.12553355992395585</v>
      </c>
      <c r="I36" s="10">
        <f t="shared" ref="I36:L36" si="0">C36/$B$35</f>
        <v>7.1305256647618845E-2</v>
      </c>
      <c r="J36" s="10">
        <f t="shared" si="0"/>
        <v>8.9623716147845353E-2</v>
      </c>
      <c r="K36" s="10">
        <f t="shared" si="0"/>
        <v>0.12216312675740319</v>
      </c>
      <c r="L36" s="10">
        <f t="shared" si="0"/>
        <v>0.14899191275428486</v>
      </c>
      <c r="M36" t="s">
        <v>188</v>
      </c>
    </row>
    <row r="37" spans="1:13" ht="18" x14ac:dyDescent="0.2">
      <c r="A37" s="2" t="s">
        <v>39</v>
      </c>
      <c r="B37" s="6">
        <v>6003.04</v>
      </c>
      <c r="C37" s="6">
        <v>3761.92</v>
      </c>
      <c r="D37" s="6">
        <v>4596.6099999999997</v>
      </c>
      <c r="E37" s="6">
        <v>5945.42</v>
      </c>
      <c r="F37" s="6">
        <v>6796.99</v>
      </c>
      <c r="G37" s="6">
        <v>9000.65</v>
      </c>
      <c r="H37" s="10">
        <f t="shared" ref="H37:H63" si="1">B37/$B$35</f>
        <v>8.2836622788709513E-2</v>
      </c>
      <c r="I37" s="10">
        <f t="shared" ref="I37:I63" si="2">C37/$B$35</f>
        <v>5.1911156347667534E-2</v>
      </c>
      <c r="J37" s="10">
        <f t="shared" ref="J37:J63" si="3">D37/$B$35</f>
        <v>6.3429137349877734E-2</v>
      </c>
      <c r="K37" s="10">
        <f t="shared" ref="K37:K63" si="4">E37/$B$35</f>
        <v>8.2041517940984798E-2</v>
      </c>
      <c r="L37" s="10">
        <f t="shared" ref="L37:L63" si="5">F37/$B$35</f>
        <v>9.3792427957939767E-2</v>
      </c>
      <c r="M37" t="s">
        <v>188</v>
      </c>
    </row>
    <row r="38" spans="1:13" ht="18" x14ac:dyDescent="0.2">
      <c r="A38" s="2" t="s">
        <v>40</v>
      </c>
      <c r="B38" s="4">
        <v>716.35</v>
      </c>
      <c r="C38" s="4">
        <v>466.71</v>
      </c>
      <c r="D38" s="4">
        <v>557.20000000000005</v>
      </c>
      <c r="E38" s="4">
        <v>739.09</v>
      </c>
      <c r="F38" s="4">
        <v>785.21</v>
      </c>
      <c r="G38" s="6">
        <v>1043.8499999999999</v>
      </c>
      <c r="H38" s="10">
        <f t="shared" si="1"/>
        <v>9.8849940587922222E-3</v>
      </c>
      <c r="I38" s="10">
        <f t="shared" si="2"/>
        <v>6.4401836772233099E-3</v>
      </c>
      <c r="J38" s="10">
        <f t="shared" si="3"/>
        <v>7.6888653445369264E-3</v>
      </c>
      <c r="K38" s="10">
        <f t="shared" si="4"/>
        <v>1.0198785871309757E-2</v>
      </c>
      <c r="L38" s="10">
        <f t="shared" si="5"/>
        <v>1.0835200928183488E-2</v>
      </c>
      <c r="M38" t="s">
        <v>188</v>
      </c>
    </row>
    <row r="39" spans="1:13" ht="18" x14ac:dyDescent="0.2">
      <c r="A39" s="2" t="s">
        <v>41</v>
      </c>
      <c r="B39" s="4">
        <v>240.58</v>
      </c>
      <c r="C39" s="4">
        <v>160.02000000000001</v>
      </c>
      <c r="D39" s="4">
        <v>174.39</v>
      </c>
      <c r="E39" s="4">
        <v>237.8</v>
      </c>
      <c r="F39" s="4">
        <v>273.39</v>
      </c>
      <c r="G39" s="4">
        <v>362.72</v>
      </c>
      <c r="H39" s="10">
        <f t="shared" si="1"/>
        <v>3.3197904246028242E-3</v>
      </c>
      <c r="I39" s="10">
        <f t="shared" si="2"/>
        <v>2.2081339419109816E-3</v>
      </c>
      <c r="J39" s="10">
        <f t="shared" si="3"/>
        <v>2.4064271849134856E-3</v>
      </c>
      <c r="K39" s="10">
        <f t="shared" si="4"/>
        <v>3.2814288925536268E-3</v>
      </c>
      <c r="L39" s="10">
        <f t="shared" si="5"/>
        <v>3.7725392974568375E-3</v>
      </c>
      <c r="M39" t="s">
        <v>188</v>
      </c>
    </row>
    <row r="40" spans="1:13" ht="18" x14ac:dyDescent="0.2">
      <c r="A40" s="2" t="s">
        <v>42</v>
      </c>
      <c r="B40" s="4">
        <v>475.77</v>
      </c>
      <c r="C40" s="4">
        <v>306.69</v>
      </c>
      <c r="D40" s="4">
        <v>382.81</v>
      </c>
      <c r="E40" s="4">
        <v>501.3</v>
      </c>
      <c r="F40" s="4">
        <v>511.82</v>
      </c>
      <c r="G40" s="4">
        <v>681.12</v>
      </c>
      <c r="H40" s="10">
        <f t="shared" si="1"/>
        <v>6.5652036341893984E-3</v>
      </c>
      <c r="I40" s="10">
        <f t="shared" si="2"/>
        <v>4.2320497353123291E-3</v>
      </c>
      <c r="J40" s="10">
        <f t="shared" si="3"/>
        <v>5.282438159623439E-3</v>
      </c>
      <c r="K40" s="10">
        <f t="shared" si="4"/>
        <v>6.9174949698786086E-3</v>
      </c>
      <c r="L40" s="10">
        <f t="shared" si="5"/>
        <v>7.0626616307266493E-3</v>
      </c>
      <c r="M40" t="s">
        <v>188</v>
      </c>
    </row>
    <row r="41" spans="1:13" ht="18" x14ac:dyDescent="0.2">
      <c r="A41" s="2" t="s">
        <v>43</v>
      </c>
      <c r="B41" s="6">
        <v>1385.42</v>
      </c>
      <c r="C41" s="4">
        <v>780.01</v>
      </c>
      <c r="D41" s="4">
        <v>999.56</v>
      </c>
      <c r="E41" s="6">
        <v>1447.07</v>
      </c>
      <c r="F41" s="6">
        <v>1555.56</v>
      </c>
      <c r="G41" s="6">
        <v>2168.98</v>
      </c>
      <c r="H41" s="10">
        <f t="shared" si="1"/>
        <v>1.9117566090503135E-2</v>
      </c>
      <c r="I41" s="10">
        <f t="shared" si="2"/>
        <v>1.0763445544494342E-2</v>
      </c>
      <c r="J41" s="10">
        <f t="shared" si="3"/>
        <v>1.3793040638523562E-2</v>
      </c>
      <c r="K41" s="10">
        <f t="shared" si="4"/>
        <v>1.996828136058695E-2</v>
      </c>
      <c r="L41" s="10">
        <f t="shared" si="5"/>
        <v>2.1465347048362993E-2</v>
      </c>
      <c r="M41" t="s">
        <v>188</v>
      </c>
    </row>
    <row r="42" spans="1:13" ht="18" x14ac:dyDescent="0.2">
      <c r="A42" s="2" t="s">
        <v>44</v>
      </c>
      <c r="B42" s="4">
        <v>365.81</v>
      </c>
      <c r="C42" s="4">
        <v>216.75</v>
      </c>
      <c r="D42" s="4">
        <v>256.12</v>
      </c>
      <c r="E42" s="4">
        <v>390.27</v>
      </c>
      <c r="F42" s="4">
        <v>406.81</v>
      </c>
      <c r="G42" s="4">
        <v>566.91</v>
      </c>
      <c r="H42" s="10">
        <f t="shared" si="1"/>
        <v>5.0478532514089246E-3</v>
      </c>
      <c r="I42" s="10">
        <f t="shared" si="2"/>
        <v>2.9909575797350658E-3</v>
      </c>
      <c r="J42" s="10">
        <f t="shared" si="3"/>
        <v>3.5342286289353863E-3</v>
      </c>
      <c r="K42" s="10">
        <f t="shared" si="4"/>
        <v>5.3853795369928677E-3</v>
      </c>
      <c r="L42" s="10">
        <f t="shared" si="5"/>
        <v>5.6136168535733432E-3</v>
      </c>
      <c r="M42" t="s">
        <v>188</v>
      </c>
    </row>
    <row r="43" spans="1:13" ht="18" x14ac:dyDescent="0.2">
      <c r="A43" s="2" t="s">
        <v>45</v>
      </c>
      <c r="B43" s="4">
        <v>257</v>
      </c>
      <c r="C43" s="4">
        <v>123</v>
      </c>
      <c r="D43" s="4">
        <v>177.6</v>
      </c>
      <c r="E43" s="4">
        <v>322.61</v>
      </c>
      <c r="F43" s="4">
        <v>276.14</v>
      </c>
      <c r="G43" s="4">
        <v>387.87</v>
      </c>
      <c r="H43" s="10">
        <f t="shared" si="1"/>
        <v>3.5463718477135495E-3</v>
      </c>
      <c r="I43" s="10">
        <f t="shared" si="2"/>
        <v>1.6972908064932552E-3</v>
      </c>
      <c r="J43" s="10">
        <f t="shared" si="3"/>
        <v>2.4507223352292855E-3</v>
      </c>
      <c r="K43" s="10">
        <f t="shared" si="4"/>
        <v>4.4517316022990982E-3</v>
      </c>
      <c r="L43" s="10">
        <f t="shared" si="5"/>
        <v>3.8104868561385972E-3</v>
      </c>
      <c r="M43" t="s">
        <v>188</v>
      </c>
    </row>
    <row r="44" spans="1:13" ht="18" x14ac:dyDescent="0.2">
      <c r="A44" s="2" t="s">
        <v>46</v>
      </c>
      <c r="B44" s="4">
        <v>166.52</v>
      </c>
      <c r="C44" s="4">
        <v>73.22</v>
      </c>
      <c r="D44" s="4">
        <v>100.94</v>
      </c>
      <c r="E44" s="4">
        <v>170.35</v>
      </c>
      <c r="F44" s="4">
        <v>210.86</v>
      </c>
      <c r="G44" s="4">
        <v>280.22000000000003</v>
      </c>
      <c r="H44" s="10">
        <f t="shared" si="1"/>
        <v>2.2978281715224135E-3</v>
      </c>
      <c r="I44" s="10">
        <f t="shared" si="2"/>
        <v>1.0103709987921638E-3</v>
      </c>
      <c r="J44" s="10">
        <f t="shared" si="3"/>
        <v>1.3928823903043024E-3</v>
      </c>
      <c r="K44" s="10">
        <f t="shared" si="4"/>
        <v>2.3506787714319189E-3</v>
      </c>
      <c r="L44" s="10">
        <f t="shared" si="5"/>
        <v>2.9096808085948603E-3</v>
      </c>
      <c r="M44" t="s">
        <v>188</v>
      </c>
    </row>
    <row r="45" spans="1:13" ht="18" x14ac:dyDescent="0.2">
      <c r="A45" s="2" t="s">
        <v>47</v>
      </c>
      <c r="B45" s="4">
        <v>258.52</v>
      </c>
      <c r="C45" s="4">
        <v>153.85</v>
      </c>
      <c r="D45" s="4">
        <v>188.89</v>
      </c>
      <c r="E45" s="4">
        <v>255.44</v>
      </c>
      <c r="F45" s="4">
        <v>299.73</v>
      </c>
      <c r="G45" s="4">
        <v>399.03</v>
      </c>
      <c r="H45" s="10">
        <f t="shared" si="1"/>
        <v>3.5673464983303764E-3</v>
      </c>
      <c r="I45" s="10">
        <f t="shared" si="2"/>
        <v>2.1229934193413603E-3</v>
      </c>
      <c r="J45" s="10">
        <f t="shared" si="3"/>
        <v>2.6065143125082193E-3</v>
      </c>
      <c r="K45" s="10">
        <f t="shared" si="4"/>
        <v>3.5248452326068058E-3</v>
      </c>
      <c r="L45" s="10">
        <f t="shared" si="5"/>
        <v>4.1360079140668575E-3</v>
      </c>
      <c r="M45" t="s">
        <v>188</v>
      </c>
    </row>
    <row r="46" spans="1:13" ht="18" x14ac:dyDescent="0.2">
      <c r="A46" s="2" t="s">
        <v>48</v>
      </c>
      <c r="B46" s="4">
        <v>241.81</v>
      </c>
      <c r="C46" s="4">
        <v>139.57</v>
      </c>
      <c r="D46" s="4">
        <v>197.96</v>
      </c>
      <c r="E46" s="4">
        <v>223.53</v>
      </c>
      <c r="F46" s="4">
        <v>260.70999999999998</v>
      </c>
      <c r="G46" s="4">
        <v>391.29</v>
      </c>
      <c r="H46" s="10">
        <f t="shared" si="1"/>
        <v>3.3367633326677566E-3</v>
      </c>
      <c r="I46" s="10">
        <f t="shared" si="2"/>
        <v>1.9259420964411677E-3</v>
      </c>
      <c r="J46" s="10">
        <f t="shared" si="3"/>
        <v>2.7316722605967873E-3</v>
      </c>
      <c r="K46" s="10">
        <f t="shared" si="4"/>
        <v>3.0845155607759135E-3</v>
      </c>
      <c r="L46" s="10">
        <f t="shared" si="5"/>
        <v>3.5975665541533052E-3</v>
      </c>
      <c r="M46" t="s">
        <v>188</v>
      </c>
    </row>
    <row r="47" spans="1:13" ht="18" x14ac:dyDescent="0.2">
      <c r="A47" s="2" t="s">
        <v>49</v>
      </c>
      <c r="B47" s="4">
        <v>95.77</v>
      </c>
      <c r="C47" s="4">
        <v>73.61</v>
      </c>
      <c r="D47" s="4">
        <v>78.05</v>
      </c>
      <c r="E47" s="4">
        <v>84.88</v>
      </c>
      <c r="F47" s="4">
        <v>101.31</v>
      </c>
      <c r="G47" s="4">
        <v>143.66999999999999</v>
      </c>
      <c r="H47" s="10">
        <f t="shared" si="1"/>
        <v>1.3215409799825939E-3</v>
      </c>
      <c r="I47" s="10">
        <f t="shared" si="2"/>
        <v>1.0157526525688496E-3</v>
      </c>
      <c r="J47" s="10">
        <f t="shared" si="3"/>
        <v>1.0770207109495819E-3</v>
      </c>
      <c r="K47" s="10">
        <f t="shared" si="4"/>
        <v>1.1712686476028251E-3</v>
      </c>
      <c r="L47" s="10">
        <f t="shared" si="5"/>
        <v>1.39798806183603E-3</v>
      </c>
      <c r="M47" t="s">
        <v>188</v>
      </c>
    </row>
    <row r="48" spans="1:13" ht="18" x14ac:dyDescent="0.2">
      <c r="A48" s="2" t="s">
        <v>50</v>
      </c>
      <c r="B48" s="4">
        <v>568.16</v>
      </c>
      <c r="C48" s="4">
        <v>380.84</v>
      </c>
      <c r="D48" s="4">
        <v>470.22</v>
      </c>
      <c r="E48" s="4">
        <v>546.11</v>
      </c>
      <c r="F48" s="4">
        <v>603.29</v>
      </c>
      <c r="G48" s="4">
        <v>849.72</v>
      </c>
      <c r="H48" s="10">
        <f t="shared" si="1"/>
        <v>7.840103614774047E-3</v>
      </c>
      <c r="I48" s="10">
        <f t="shared" si="2"/>
        <v>5.2552539084950514E-3</v>
      </c>
      <c r="J48" s="10">
        <f t="shared" si="3"/>
        <v>6.4886185612134835E-3</v>
      </c>
      <c r="K48" s="10">
        <f t="shared" si="4"/>
        <v>7.5358331897075739E-3</v>
      </c>
      <c r="L48" s="10">
        <f t="shared" si="5"/>
        <v>8.3248664280432191E-3</v>
      </c>
      <c r="M48" t="s">
        <v>188</v>
      </c>
    </row>
    <row r="49" spans="1:13" ht="18" x14ac:dyDescent="0.2">
      <c r="A49" s="2" t="s">
        <v>51</v>
      </c>
      <c r="B49" s="4">
        <v>194.87</v>
      </c>
      <c r="C49" s="4">
        <v>138.33000000000001</v>
      </c>
      <c r="D49" s="4">
        <v>180.72</v>
      </c>
      <c r="E49" s="4">
        <v>177.34</v>
      </c>
      <c r="F49" s="4">
        <v>193.71</v>
      </c>
      <c r="G49" s="4">
        <v>286.81</v>
      </c>
      <c r="H49" s="10">
        <f t="shared" si="1"/>
        <v>2.6890330037507371E-3</v>
      </c>
      <c r="I49" s="10">
        <f t="shared" si="2"/>
        <v>1.9088311972537562E-3</v>
      </c>
      <c r="J49" s="10">
        <f t="shared" si="3"/>
        <v>2.4937755654427731E-3</v>
      </c>
      <c r="K49" s="10">
        <f t="shared" si="4"/>
        <v>2.4471345660448283E-3</v>
      </c>
      <c r="L49" s="10">
        <f t="shared" si="5"/>
        <v>2.6730260335431585E-3</v>
      </c>
      <c r="M49" t="s">
        <v>188</v>
      </c>
    </row>
    <row r="50" spans="1:13" ht="18" x14ac:dyDescent="0.2">
      <c r="A50" s="2" t="s">
        <v>52</v>
      </c>
      <c r="B50" s="4">
        <v>373.29</v>
      </c>
      <c r="C50" s="4">
        <v>242.51</v>
      </c>
      <c r="D50" s="4">
        <v>289.5</v>
      </c>
      <c r="E50" s="4">
        <v>368.77</v>
      </c>
      <c r="F50" s="4">
        <v>409.59</v>
      </c>
      <c r="G50" s="4">
        <v>562.9</v>
      </c>
      <c r="H50" s="10">
        <f t="shared" si="1"/>
        <v>5.1510706110233116E-3</v>
      </c>
      <c r="I50" s="10">
        <f t="shared" si="2"/>
        <v>3.3464227112412954E-3</v>
      </c>
      <c r="J50" s="10">
        <f t="shared" si="3"/>
        <v>3.9948429957707109E-3</v>
      </c>
      <c r="K50" s="10">
        <f t="shared" si="4"/>
        <v>5.0886986236627456E-3</v>
      </c>
      <c r="L50" s="10">
        <f t="shared" si="5"/>
        <v>5.6519783856225393E-3</v>
      </c>
      <c r="M50" t="s">
        <v>188</v>
      </c>
    </row>
    <row r="51" spans="1:13" ht="18" x14ac:dyDescent="0.2">
      <c r="A51" s="2" t="s">
        <v>53</v>
      </c>
      <c r="B51" s="6">
        <v>1254.8800000000001</v>
      </c>
      <c r="C51" s="4">
        <v>773.66</v>
      </c>
      <c r="D51" s="6">
        <v>1033.9100000000001</v>
      </c>
      <c r="E51" s="6">
        <v>1236.0999999999999</v>
      </c>
      <c r="F51" s="6">
        <v>1422.77</v>
      </c>
      <c r="G51" s="6">
        <v>1813.92</v>
      </c>
      <c r="H51" s="10">
        <f t="shared" si="1"/>
        <v>1.7316229977660622E-2</v>
      </c>
      <c r="I51" s="10">
        <f t="shared" si="2"/>
        <v>1.0675821181720096E-2</v>
      </c>
      <c r="J51" s="10">
        <f t="shared" si="3"/>
        <v>1.4267040144239363E-2</v>
      </c>
      <c r="K51" s="10">
        <f t="shared" si="4"/>
        <v>1.7057082649644818E-2</v>
      </c>
      <c r="L51" s="10">
        <f t="shared" si="5"/>
        <v>1.9632962932962673E-2</v>
      </c>
      <c r="M51" t="s">
        <v>188</v>
      </c>
    </row>
    <row r="52" spans="1:13" ht="18" x14ac:dyDescent="0.2">
      <c r="A52" s="2" t="s">
        <v>54</v>
      </c>
      <c r="B52" s="4">
        <v>482.15</v>
      </c>
      <c r="C52" s="4">
        <v>287.39</v>
      </c>
      <c r="D52" s="4">
        <v>392.87</v>
      </c>
      <c r="E52" s="4">
        <v>465.04</v>
      </c>
      <c r="F52" s="4">
        <v>526.22</v>
      </c>
      <c r="G52" s="4">
        <v>745.4</v>
      </c>
      <c r="H52" s="10">
        <f t="shared" si="1"/>
        <v>6.653241970331081E-3</v>
      </c>
      <c r="I52" s="10">
        <f t="shared" si="2"/>
        <v>3.9657268689276149E-3</v>
      </c>
      <c r="J52" s="10">
        <f t="shared" si="3"/>
        <v>5.4212572288374408E-3</v>
      </c>
      <c r="K52" s="10">
        <f t="shared" si="4"/>
        <v>6.4171391597692964E-3</v>
      </c>
      <c r="L52" s="10">
        <f t="shared" si="5"/>
        <v>7.2613688470965923E-3</v>
      </c>
      <c r="M52" t="s">
        <v>188</v>
      </c>
    </row>
    <row r="53" spans="1:13" ht="18" x14ac:dyDescent="0.2">
      <c r="A53" s="2" t="s">
        <v>55</v>
      </c>
      <c r="B53" s="4">
        <v>434.67</v>
      </c>
      <c r="C53" s="4">
        <v>249.9</v>
      </c>
      <c r="D53" s="4">
        <v>370.83</v>
      </c>
      <c r="E53" s="4">
        <v>435.51</v>
      </c>
      <c r="F53" s="4">
        <v>522.51</v>
      </c>
      <c r="G53" s="4">
        <v>589.66</v>
      </c>
      <c r="H53" s="10">
        <f t="shared" si="1"/>
        <v>5.9980601208001897E-3</v>
      </c>
      <c r="I53" s="10">
        <f t="shared" si="2"/>
        <v>3.4483981507533699E-3</v>
      </c>
      <c r="J53" s="10">
        <f t="shared" si="3"/>
        <v>5.117124794893446E-3</v>
      </c>
      <c r="K53" s="10">
        <f t="shared" si="4"/>
        <v>6.0096513750884355E-3</v>
      </c>
      <c r="L53" s="10">
        <f t="shared" si="5"/>
        <v>7.2101741406568358E-3</v>
      </c>
      <c r="M53" t="s">
        <v>188</v>
      </c>
    </row>
    <row r="54" spans="1:13" ht="18" x14ac:dyDescent="0.2">
      <c r="A54" s="2" t="s">
        <v>56</v>
      </c>
      <c r="B54" s="4">
        <v>140.02000000000001</v>
      </c>
      <c r="C54" s="4">
        <v>95.46</v>
      </c>
      <c r="D54" s="4">
        <v>113.58</v>
      </c>
      <c r="E54" s="4">
        <v>149.07</v>
      </c>
      <c r="F54" s="4">
        <v>166.01</v>
      </c>
      <c r="G54" s="4">
        <v>175.37</v>
      </c>
      <c r="H54" s="10">
        <f t="shared" si="1"/>
        <v>1.9321516969527286E-3</v>
      </c>
      <c r="I54" s="10">
        <f t="shared" si="2"/>
        <v>1.317263255185741E-3</v>
      </c>
      <c r="J54" s="10">
        <f t="shared" si="3"/>
        <v>1.5673031691179182E-3</v>
      </c>
      <c r="K54" s="10">
        <f t="shared" si="4"/>
        <v>2.0570336627963376E-3</v>
      </c>
      <c r="L54" s="10">
        <f t="shared" si="5"/>
        <v>2.2907906242759777E-3</v>
      </c>
      <c r="M54" t="s">
        <v>188</v>
      </c>
    </row>
    <row r="55" spans="1:13" ht="18" x14ac:dyDescent="0.2">
      <c r="A55" s="2" t="s">
        <v>57</v>
      </c>
      <c r="B55" s="4">
        <v>198.04</v>
      </c>
      <c r="C55" s="4">
        <v>140.91</v>
      </c>
      <c r="D55" s="4">
        <v>156.63</v>
      </c>
      <c r="E55" s="4">
        <v>186.48</v>
      </c>
      <c r="F55" s="4">
        <v>208.02</v>
      </c>
      <c r="G55" s="4">
        <v>303.49</v>
      </c>
      <c r="H55" s="10">
        <f t="shared" si="1"/>
        <v>2.7327761895766197E-3</v>
      </c>
      <c r="I55" s="10">
        <f t="shared" si="2"/>
        <v>1.9444329068533707E-3</v>
      </c>
      <c r="J55" s="10">
        <f t="shared" si="3"/>
        <v>2.1613549513905574E-3</v>
      </c>
      <c r="K55" s="10">
        <f t="shared" si="4"/>
        <v>2.5732584519907497E-3</v>
      </c>
      <c r="L55" s="10">
        <f t="shared" si="5"/>
        <v>2.8704913298107882E-3</v>
      </c>
      <c r="M55" t="s">
        <v>188</v>
      </c>
    </row>
    <row r="56" spans="1:13" ht="18" x14ac:dyDescent="0.2">
      <c r="A56" s="2" t="s">
        <v>59</v>
      </c>
      <c r="B56" s="6">
        <v>2078.2399999999998</v>
      </c>
      <c r="C56" s="6">
        <v>1360.7</v>
      </c>
      <c r="D56" s="6">
        <v>1535.73</v>
      </c>
      <c r="E56" s="6">
        <v>1977.05</v>
      </c>
      <c r="F56" s="6">
        <v>2430.15</v>
      </c>
      <c r="G56" s="6">
        <v>3124.18</v>
      </c>
      <c r="H56" s="10">
        <f t="shared" si="1"/>
        <v>2.8677867038101972E-2</v>
      </c>
      <c r="I56" s="10">
        <f t="shared" si="2"/>
        <v>1.8776452035734737E-2</v>
      </c>
      <c r="J56" s="10">
        <f t="shared" si="3"/>
        <v>2.1191710652486886E-2</v>
      </c>
      <c r="K56" s="10">
        <f t="shared" si="4"/>
        <v>2.7281534869735693E-2</v>
      </c>
      <c r="L56" s="10">
        <f t="shared" si="5"/>
        <v>3.353391262926491E-2</v>
      </c>
      <c r="M56" t="s">
        <v>188</v>
      </c>
    </row>
    <row r="57" spans="1:13" ht="18" x14ac:dyDescent="0.2">
      <c r="A57" s="2" t="s">
        <v>60</v>
      </c>
      <c r="B57" s="4">
        <v>160.26</v>
      </c>
      <c r="C57" s="4">
        <v>146.51</v>
      </c>
      <c r="D57" s="4">
        <v>126.67</v>
      </c>
      <c r="E57" s="4">
        <v>132.38</v>
      </c>
      <c r="F57" s="4">
        <v>190</v>
      </c>
      <c r="G57" s="4">
        <v>209.8</v>
      </c>
      <c r="H57" s="10">
        <f t="shared" si="1"/>
        <v>2.2114457288504802E-3</v>
      </c>
      <c r="I57" s="10">
        <f t="shared" si="2"/>
        <v>2.0217079354416813E-3</v>
      </c>
      <c r="J57" s="10">
        <f t="shared" si="3"/>
        <v>1.7479335484430947E-3</v>
      </c>
      <c r="K57" s="10">
        <f t="shared" si="4"/>
        <v>1.8267264793786757E-3</v>
      </c>
      <c r="L57" s="10">
        <f t="shared" si="5"/>
        <v>2.6218313271034023E-3</v>
      </c>
      <c r="M57" t="s">
        <v>188</v>
      </c>
    </row>
    <row r="58" spans="1:13" ht="18" x14ac:dyDescent="0.2">
      <c r="A58" s="2" t="s">
        <v>61</v>
      </c>
      <c r="B58" s="4">
        <v>143.99</v>
      </c>
      <c r="C58" s="4">
        <v>98.08</v>
      </c>
      <c r="D58" s="4">
        <v>120.63</v>
      </c>
      <c r="E58" s="4">
        <v>141.79</v>
      </c>
      <c r="F58" s="4">
        <v>160.38</v>
      </c>
      <c r="G58" s="4">
        <v>200</v>
      </c>
      <c r="H58" s="10">
        <f t="shared" si="1"/>
        <v>1.9869341725769415E-3</v>
      </c>
      <c r="I58" s="10">
        <f t="shared" si="2"/>
        <v>1.353416929275272E-3</v>
      </c>
      <c r="J58" s="10">
        <f t="shared" si="3"/>
        <v>1.6645869104657022E-3</v>
      </c>
      <c r="K58" s="10">
        <f t="shared" si="4"/>
        <v>1.9565761256315336E-3</v>
      </c>
      <c r="L58" s="10">
        <f t="shared" si="5"/>
        <v>2.2131016223202299E-3</v>
      </c>
      <c r="M58" t="s">
        <v>188</v>
      </c>
    </row>
    <row r="59" spans="1:13" ht="18" x14ac:dyDescent="0.2">
      <c r="A59" s="2" t="s">
        <v>62</v>
      </c>
      <c r="B59" s="6">
        <v>1156.9000000000001</v>
      </c>
      <c r="C59" s="4">
        <v>689.37</v>
      </c>
      <c r="D59" s="4">
        <v>795.01</v>
      </c>
      <c r="E59" s="6">
        <v>1128.48</v>
      </c>
      <c r="F59" s="6">
        <v>1357.47</v>
      </c>
      <c r="G59" s="6">
        <v>1841.61</v>
      </c>
      <c r="H59" s="10">
        <f t="shared" si="1"/>
        <v>1.596419295961014E-2</v>
      </c>
      <c r="I59" s="10">
        <f t="shared" si="2"/>
        <v>9.5126940103435389E-3</v>
      </c>
      <c r="J59" s="10">
        <f t="shared" si="3"/>
        <v>1.0970432228213031E-2</v>
      </c>
      <c r="K59" s="10">
        <f t="shared" si="4"/>
        <v>1.5572022189524462E-2</v>
      </c>
      <c r="L59" s="10">
        <f t="shared" si="5"/>
        <v>1.8731880903173976E-2</v>
      </c>
      <c r="M59" t="s">
        <v>188</v>
      </c>
    </row>
    <row r="60" spans="1:13" ht="18" x14ac:dyDescent="0.2">
      <c r="A60" s="2" t="s">
        <v>63</v>
      </c>
      <c r="B60" s="4">
        <v>553.77</v>
      </c>
      <c r="C60" s="4">
        <v>411.01</v>
      </c>
      <c r="D60" s="4">
        <v>458.71</v>
      </c>
      <c r="E60" s="4">
        <v>512.1</v>
      </c>
      <c r="F60" s="4">
        <v>639.65</v>
      </c>
      <c r="G60" s="4">
        <v>752.81</v>
      </c>
      <c r="H60" s="10">
        <f t="shared" si="1"/>
        <v>7.6415343895265848E-3</v>
      </c>
      <c r="I60" s="10">
        <f t="shared" si="2"/>
        <v>5.671573125014576E-3</v>
      </c>
      <c r="J60" s="10">
        <f t="shared" si="3"/>
        <v>6.3297907792400085E-3</v>
      </c>
      <c r="K60" s="10">
        <f t="shared" si="4"/>
        <v>7.0665253821560652E-3</v>
      </c>
      <c r="L60" s="10">
        <f t="shared" si="5"/>
        <v>8.8266021493773224E-3</v>
      </c>
      <c r="M60" t="s">
        <v>189</v>
      </c>
    </row>
    <row r="61" spans="1:13" ht="18" x14ac:dyDescent="0.2">
      <c r="A61" s="2" t="s">
        <v>64</v>
      </c>
      <c r="B61" s="4">
        <v>63.32</v>
      </c>
      <c r="C61" s="4">
        <v>15.73</v>
      </c>
      <c r="D61" s="4">
        <v>34.72</v>
      </c>
      <c r="E61" s="4">
        <v>62.29</v>
      </c>
      <c r="F61" s="4">
        <v>82.65</v>
      </c>
      <c r="G61" s="4">
        <v>119.96</v>
      </c>
      <c r="H61" s="10">
        <f t="shared" si="1"/>
        <v>8.7375978753782867E-4</v>
      </c>
      <c r="I61" s="10">
        <f t="shared" si="2"/>
        <v>2.1706003565966591E-4</v>
      </c>
      <c r="J61" s="10">
        <f t="shared" si="3"/>
        <v>4.79105177247527E-4</v>
      </c>
      <c r="K61" s="10">
        <f t="shared" si="4"/>
        <v>8.5954670192247857E-4</v>
      </c>
      <c r="L61" s="10">
        <f t="shared" si="5"/>
        <v>1.1404966272899801E-3</v>
      </c>
      <c r="M61" t="s">
        <v>189</v>
      </c>
    </row>
    <row r="62" spans="1:13" ht="18" x14ac:dyDescent="0.2">
      <c r="A62" s="2" t="s">
        <v>65</v>
      </c>
      <c r="B62" s="6">
        <v>3094.18</v>
      </c>
      <c r="C62" s="6">
        <v>1405.46</v>
      </c>
      <c r="D62" s="6">
        <v>1898.28</v>
      </c>
      <c r="E62" s="6">
        <v>2907.55</v>
      </c>
      <c r="F62" s="6">
        <v>4000.22</v>
      </c>
      <c r="G62" s="6">
        <v>5297.45</v>
      </c>
      <c r="H62" s="10">
        <f t="shared" si="1"/>
        <v>4.2696937135246346E-2</v>
      </c>
      <c r="I62" s="10">
        <f t="shared" si="2"/>
        <v>1.9394100299951304E-2</v>
      </c>
      <c r="J62" s="10">
        <f t="shared" si="3"/>
        <v>2.6194578797967615E-2</v>
      </c>
      <c r="K62" s="10">
        <f t="shared" si="4"/>
        <v>4.0121608816418408E-2</v>
      </c>
      <c r="L62" s="10">
        <f t="shared" si="5"/>
        <v>5.5199484796345115E-2</v>
      </c>
      <c r="M62" t="s">
        <v>189</v>
      </c>
    </row>
    <row r="63" spans="1:13" ht="18" x14ac:dyDescent="0.2">
      <c r="A63" s="1"/>
      <c r="B63" s="4"/>
      <c r="C63" s="4"/>
      <c r="D63" s="4"/>
      <c r="E63" s="4"/>
      <c r="F63" s="4"/>
      <c r="G63" s="4"/>
      <c r="H63" s="10">
        <f t="shared" si="1"/>
        <v>0</v>
      </c>
      <c r="I63" s="10">
        <f t="shared" si="2"/>
        <v>0</v>
      </c>
      <c r="J63" s="10">
        <f t="shared" si="3"/>
        <v>0</v>
      </c>
      <c r="K63" s="10">
        <f t="shared" si="4"/>
        <v>0</v>
      </c>
      <c r="L63" s="10">
        <f t="shared" si="5"/>
        <v>0</v>
      </c>
    </row>
    <row r="64" spans="1:13" ht="18" x14ac:dyDescent="0.2">
      <c r="A64" s="2" t="s">
        <v>66</v>
      </c>
      <c r="B64" s="4">
        <v>675.49</v>
      </c>
      <c r="C64" s="4">
        <v>187.09</v>
      </c>
      <c r="D64" s="4">
        <v>309.33</v>
      </c>
      <c r="E64" s="4">
        <v>572.39</v>
      </c>
      <c r="F64" s="4">
        <v>731.19</v>
      </c>
      <c r="G64" s="6">
        <v>1626.15</v>
      </c>
      <c r="H64" s="10">
        <f t="shared" ref="H64:H127" si="6">B64/$B$35</f>
        <v>9.321162332342512E-3</v>
      </c>
      <c r="I64" s="10">
        <f t="shared" ref="I64:I127" si="7">C64/$B$35</f>
        <v>2.5816759104619765E-3</v>
      </c>
      <c r="J64" s="10">
        <f t="shared" ref="J64:J127" si="8">D64/$B$35</f>
        <v>4.2684793916468178E-3</v>
      </c>
      <c r="K64" s="10">
        <f t="shared" ref="K64:K127" si="9">E64/$B$35</f>
        <v>7.8984738595827188E-3</v>
      </c>
      <c r="L64" s="10">
        <f t="shared" ref="L64:L127" si="10">F64/$B$35</f>
        <v>1.0089772884551247E-2</v>
      </c>
      <c r="M64" t="s">
        <v>189</v>
      </c>
    </row>
    <row r="65" spans="1:13" ht="18" x14ac:dyDescent="0.2">
      <c r="A65" s="1"/>
      <c r="B65" s="4"/>
      <c r="C65" s="4"/>
      <c r="D65" s="4"/>
      <c r="E65" s="4"/>
      <c r="F65" s="4"/>
      <c r="G65" s="4"/>
      <c r="H65" s="10">
        <f t="shared" si="6"/>
        <v>0</v>
      </c>
      <c r="I65" s="10">
        <f t="shared" si="7"/>
        <v>0</v>
      </c>
      <c r="J65" s="10">
        <f t="shared" si="8"/>
        <v>0</v>
      </c>
      <c r="K65" s="10">
        <f t="shared" si="9"/>
        <v>0</v>
      </c>
      <c r="L65" s="10">
        <f t="shared" si="10"/>
        <v>0</v>
      </c>
    </row>
    <row r="66" spans="1:13" ht="18" x14ac:dyDescent="0.2">
      <c r="A66" s="2" t="s">
        <v>67</v>
      </c>
      <c r="B66" s="6">
        <v>28247.14</v>
      </c>
      <c r="C66" s="6">
        <v>16644.2</v>
      </c>
      <c r="D66" s="6">
        <v>20461.36</v>
      </c>
      <c r="E66" s="6">
        <v>25898.3</v>
      </c>
      <c r="F66" s="6">
        <v>30569.91</v>
      </c>
      <c r="G66" s="6">
        <v>47686.23</v>
      </c>
      <c r="H66" s="10">
        <f t="shared" si="6"/>
        <v>0.38978545554250316</v>
      </c>
      <c r="I66" s="10">
        <f t="shared" si="7"/>
        <v>0.22967518407670764</v>
      </c>
      <c r="J66" s="10">
        <f t="shared" si="8"/>
        <v>0.28234860338494988</v>
      </c>
      <c r="K66" s="10">
        <f t="shared" si="9"/>
        <v>0.35737354873011601</v>
      </c>
      <c r="L66" s="10">
        <f t="shared" si="10"/>
        <v>0.42183761949858722</v>
      </c>
      <c r="M66" t="s">
        <v>188</v>
      </c>
    </row>
    <row r="67" spans="1:13" ht="18" x14ac:dyDescent="0.2">
      <c r="A67" s="2" t="s">
        <v>68</v>
      </c>
      <c r="B67" s="6">
        <v>18389.48</v>
      </c>
      <c r="C67" s="6">
        <v>11184.9</v>
      </c>
      <c r="D67" s="6">
        <v>13620.15</v>
      </c>
      <c r="E67" s="6">
        <v>16954.8</v>
      </c>
      <c r="F67" s="6">
        <v>19889.55</v>
      </c>
      <c r="G67" s="6">
        <v>30238.25</v>
      </c>
      <c r="H67" s="10">
        <f t="shared" si="6"/>
        <v>0.25375849870074463</v>
      </c>
      <c r="I67" s="10">
        <f t="shared" si="7"/>
        <v>0.15434169058167813</v>
      </c>
      <c r="J67" s="10">
        <f t="shared" si="8"/>
        <v>0.1879459786834074</v>
      </c>
      <c r="K67" s="10">
        <f t="shared" si="9"/>
        <v>0.23396118834090929</v>
      </c>
      <c r="L67" s="10">
        <f t="shared" si="10"/>
        <v>0.27445813301047089</v>
      </c>
      <c r="M67" t="s">
        <v>188</v>
      </c>
    </row>
    <row r="68" spans="1:13" ht="18" x14ac:dyDescent="0.2">
      <c r="A68" s="2" t="s">
        <v>69</v>
      </c>
      <c r="B68" s="6">
        <v>9138.59</v>
      </c>
      <c r="C68" s="6">
        <v>2935.82</v>
      </c>
      <c r="D68" s="6">
        <v>4707.97</v>
      </c>
      <c r="E68" s="6">
        <v>6022.63</v>
      </c>
      <c r="F68" s="6">
        <v>11296.67</v>
      </c>
      <c r="G68" s="6">
        <v>20833</v>
      </c>
      <c r="H68" s="10">
        <f t="shared" si="6"/>
        <v>0.12610442919765202</v>
      </c>
      <c r="I68" s="10">
        <f t="shared" si="7"/>
        <v>4.0511709719666902E-2</v>
      </c>
      <c r="J68" s="10">
        <f t="shared" si="8"/>
        <v>6.4965806489805294E-2</v>
      </c>
      <c r="K68" s="10">
        <f t="shared" si="9"/>
        <v>8.3106947397646125E-2</v>
      </c>
      <c r="L68" s="10">
        <f t="shared" si="10"/>
        <v>0.15588401735762733</v>
      </c>
      <c r="M68" t="s">
        <v>188</v>
      </c>
    </row>
    <row r="69" spans="1:13" ht="18" x14ac:dyDescent="0.2">
      <c r="A69" s="2" t="s">
        <v>70</v>
      </c>
      <c r="B69" s="6">
        <v>4046.47</v>
      </c>
      <c r="C69" s="4">
        <v>944.2</v>
      </c>
      <c r="D69" s="6">
        <v>1391.35</v>
      </c>
      <c r="E69" s="6">
        <v>2742.19</v>
      </c>
      <c r="F69" s="6">
        <v>5038.13</v>
      </c>
      <c r="G69" s="6">
        <v>10141.86</v>
      </c>
      <c r="H69" s="10">
        <f t="shared" si="6"/>
        <v>5.5837693737811077E-2</v>
      </c>
      <c r="I69" s="10">
        <f t="shared" si="7"/>
        <v>1.302912178447912E-2</v>
      </c>
      <c r="J69" s="10">
        <f t="shared" si="8"/>
        <v>1.9199394826133257E-2</v>
      </c>
      <c r="K69" s="10">
        <f t="shared" si="9"/>
        <v>3.7839787615103572E-2</v>
      </c>
      <c r="L69" s="10">
        <f t="shared" si="10"/>
        <v>6.952172138957613E-2</v>
      </c>
      <c r="M69" t="s">
        <v>188</v>
      </c>
    </row>
    <row r="70" spans="1:13" ht="18" x14ac:dyDescent="0.2">
      <c r="A70" s="2" t="s">
        <v>71</v>
      </c>
      <c r="B70" s="6">
        <v>2835.52</v>
      </c>
      <c r="C70" s="6">
        <v>1059.31</v>
      </c>
      <c r="D70" s="6">
        <v>1600.11</v>
      </c>
      <c r="E70" s="6">
        <v>1878.53</v>
      </c>
      <c r="F70" s="6">
        <v>3305.27</v>
      </c>
      <c r="G70" s="6">
        <v>6372.07</v>
      </c>
      <c r="H70" s="10">
        <f t="shared" si="6"/>
        <v>3.9127658761201257E-2</v>
      </c>
      <c r="I70" s="10">
        <f t="shared" si="7"/>
        <v>1.4617537595336343E-2</v>
      </c>
      <c r="J70" s="10">
        <f t="shared" si="8"/>
        <v>2.2080097499007498E-2</v>
      </c>
      <c r="K70" s="10">
        <f t="shared" si="9"/>
        <v>2.5922046331071338E-2</v>
      </c>
      <c r="L70" s="10">
        <f t="shared" si="10"/>
        <v>4.5609791739658227E-2</v>
      </c>
      <c r="M70" t="s">
        <v>189</v>
      </c>
    </row>
    <row r="71" spans="1:13" ht="18" x14ac:dyDescent="0.2">
      <c r="A71" s="2" t="s">
        <v>72</v>
      </c>
      <c r="B71" s="6">
        <v>2256.6</v>
      </c>
      <c r="C71" s="4">
        <v>932.31</v>
      </c>
      <c r="D71" s="6">
        <v>1716.5</v>
      </c>
      <c r="E71" s="6">
        <v>1401.9</v>
      </c>
      <c r="F71" s="6">
        <v>2953.27</v>
      </c>
      <c r="G71" s="6">
        <v>4319.07</v>
      </c>
      <c r="H71" s="10">
        <f t="shared" si="6"/>
        <v>3.1139076698639672E-2</v>
      </c>
      <c r="I71" s="10">
        <f t="shared" si="7"/>
        <v>1.2865050339851436E-2</v>
      </c>
      <c r="J71" s="10">
        <f t="shared" si="8"/>
        <v>2.3686176173542052E-2</v>
      </c>
      <c r="K71" s="10">
        <f t="shared" si="9"/>
        <v>1.9344975460348739E-2</v>
      </c>
      <c r="L71" s="10">
        <f t="shared" si="10"/>
        <v>4.0752504228392973E-2</v>
      </c>
      <c r="M71" t="s">
        <v>189</v>
      </c>
    </row>
    <row r="72" spans="1:13" ht="18" x14ac:dyDescent="0.2">
      <c r="A72" s="2" t="s">
        <v>73</v>
      </c>
      <c r="B72" s="6">
        <v>8444.68</v>
      </c>
      <c r="C72" s="6">
        <v>7971.14</v>
      </c>
      <c r="D72" s="6">
        <v>8604.7099999999991</v>
      </c>
      <c r="E72" s="6">
        <v>10316.59</v>
      </c>
      <c r="F72" s="6">
        <v>7724.08</v>
      </c>
      <c r="G72" s="6">
        <v>7441.58</v>
      </c>
      <c r="H72" s="10">
        <f t="shared" si="6"/>
        <v>0.11652908721770296</v>
      </c>
      <c r="I72" s="10">
        <f t="shared" si="7"/>
        <v>0.1099946556038264</v>
      </c>
      <c r="J72" s="10">
        <f t="shared" si="8"/>
        <v>0.1187373591507364</v>
      </c>
      <c r="K72" s="10">
        <f t="shared" si="9"/>
        <v>0.14235978342569311</v>
      </c>
      <c r="L72" s="10">
        <f t="shared" si="10"/>
        <v>0.10658544693185709</v>
      </c>
      <c r="M72" t="s">
        <v>188</v>
      </c>
    </row>
    <row r="73" spans="1:13" ht="18" x14ac:dyDescent="0.2">
      <c r="A73" s="2" t="s">
        <v>74</v>
      </c>
      <c r="B73" s="4">
        <v>806.21</v>
      </c>
      <c r="C73" s="4">
        <v>277.94</v>
      </c>
      <c r="D73" s="4">
        <v>307.47000000000003</v>
      </c>
      <c r="E73" s="4">
        <v>615.59</v>
      </c>
      <c r="F73" s="4">
        <v>868.8</v>
      </c>
      <c r="G73" s="6">
        <v>1963.68</v>
      </c>
      <c r="H73" s="10">
        <f t="shared" si="6"/>
        <v>1.1124982285389653E-2</v>
      </c>
      <c r="I73" s="10">
        <f t="shared" si="7"/>
        <v>3.8353252581848404E-3</v>
      </c>
      <c r="J73" s="10">
        <f t="shared" si="8"/>
        <v>4.2428130428657012E-3</v>
      </c>
      <c r="K73" s="10">
        <f t="shared" si="9"/>
        <v>8.4945955086925453E-3</v>
      </c>
      <c r="L73" s="10">
        <f t="shared" si="10"/>
        <v>1.1988668720986504E-2</v>
      </c>
      <c r="M73" t="s">
        <v>189</v>
      </c>
    </row>
    <row r="74" spans="1:13" ht="18" x14ac:dyDescent="0.2">
      <c r="A74" s="2" t="s">
        <v>75</v>
      </c>
      <c r="B74" s="6">
        <v>4329.22</v>
      </c>
      <c r="C74" s="6">
        <v>2717.04</v>
      </c>
      <c r="D74" s="6">
        <v>3630.55</v>
      </c>
      <c r="E74" s="6">
        <v>4158.4799999999996</v>
      </c>
      <c r="F74" s="6">
        <v>5019.38</v>
      </c>
      <c r="G74" s="6">
        <v>6092.73</v>
      </c>
      <c r="H74" s="10">
        <f t="shared" si="6"/>
        <v>5.9739392725908377E-2</v>
      </c>
      <c r="I74" s="10">
        <f t="shared" si="7"/>
        <v>3.7492739942068573E-2</v>
      </c>
      <c r="J74" s="10">
        <f t="shared" si="8"/>
        <v>5.0098366971659251E-2</v>
      </c>
      <c r="K74" s="10">
        <f t="shared" si="9"/>
        <v>5.7383332300699766E-2</v>
      </c>
      <c r="L74" s="10">
        <f t="shared" si="10"/>
        <v>6.9262988034927767E-2</v>
      </c>
      <c r="M74" t="s">
        <v>188</v>
      </c>
    </row>
    <row r="75" spans="1:13" ht="18" x14ac:dyDescent="0.2">
      <c r="A75" s="2" t="s">
        <v>76</v>
      </c>
      <c r="B75" s="4">
        <v>432.49</v>
      </c>
      <c r="C75" s="4">
        <v>308.85000000000002</v>
      </c>
      <c r="D75" s="4">
        <v>400.76</v>
      </c>
      <c r="E75" s="4">
        <v>407</v>
      </c>
      <c r="F75" s="4">
        <v>452.96</v>
      </c>
      <c r="G75" s="4">
        <v>592.52</v>
      </c>
      <c r="H75" s="10">
        <f t="shared" si="6"/>
        <v>5.96797805609974E-3</v>
      </c>
      <c r="I75" s="10">
        <f t="shared" si="7"/>
        <v>4.2618558177678206E-3</v>
      </c>
      <c r="J75" s="10">
        <f t="shared" si="8"/>
        <v>5.5301322244734712E-3</v>
      </c>
      <c r="K75" s="10">
        <f t="shared" si="9"/>
        <v>5.6162386849004462E-3</v>
      </c>
      <c r="L75" s="10">
        <f t="shared" si="10"/>
        <v>6.2504458838145106E-3</v>
      </c>
      <c r="M75" t="s">
        <v>189</v>
      </c>
    </row>
    <row r="76" spans="1:13" ht="18" x14ac:dyDescent="0.2">
      <c r="A76" s="2" t="s">
        <v>77</v>
      </c>
      <c r="B76" s="6">
        <v>1435.25</v>
      </c>
      <c r="C76" s="6">
        <v>1004.22</v>
      </c>
      <c r="D76" s="6">
        <v>1267.1500000000001</v>
      </c>
      <c r="E76" s="6">
        <v>1347.67</v>
      </c>
      <c r="F76" s="6">
        <v>1643.63</v>
      </c>
      <c r="G76" s="6">
        <v>1909.75</v>
      </c>
      <c r="H76" s="10">
        <f t="shared" si="6"/>
        <v>1.9805175853816623E-2</v>
      </c>
      <c r="I76" s="10">
        <f t="shared" si="7"/>
        <v>1.3857344501598836E-2</v>
      </c>
      <c r="J76" s="10">
        <f t="shared" si="8"/>
        <v>1.748554508494251E-2</v>
      </c>
      <c r="K76" s="10">
        <f t="shared" si="9"/>
        <v>1.8596649603144434E-2</v>
      </c>
      <c r="L76" s="10">
        <f t="shared" si="10"/>
        <v>2.268063486403666E-2</v>
      </c>
      <c r="M76" t="s">
        <v>188</v>
      </c>
    </row>
    <row r="77" spans="1:13" ht="18" x14ac:dyDescent="0.2">
      <c r="A77" s="2" t="s">
        <v>78</v>
      </c>
      <c r="B77" s="4">
        <v>51.54</v>
      </c>
      <c r="C77" s="4">
        <v>19.5</v>
      </c>
      <c r="D77" s="4">
        <v>63.99</v>
      </c>
      <c r="E77" s="4">
        <v>38.47</v>
      </c>
      <c r="F77" s="4">
        <v>55.28</v>
      </c>
      <c r="G77" s="4">
        <v>81.17</v>
      </c>
      <c r="H77" s="10">
        <f t="shared" si="6"/>
        <v>7.1120624525741771E-4</v>
      </c>
      <c r="I77" s="10">
        <f t="shared" si="7"/>
        <v>2.6908268883429654E-4</v>
      </c>
      <c r="J77" s="10">
        <f t="shared" si="8"/>
        <v>8.8300519274393016E-4</v>
      </c>
      <c r="K77" s="10">
        <f t="shared" si="9"/>
        <v>5.3085184817719942E-4</v>
      </c>
      <c r="L77" s="10">
        <f t="shared" si="10"/>
        <v>7.6281492506461096E-4</v>
      </c>
      <c r="M77" t="s">
        <v>189</v>
      </c>
    </row>
    <row r="78" spans="1:13" ht="18" x14ac:dyDescent="0.2">
      <c r="A78" s="2" t="s">
        <v>79</v>
      </c>
      <c r="B78" s="6">
        <v>1473.73</v>
      </c>
      <c r="C78" s="4">
        <v>873.86</v>
      </c>
      <c r="D78" s="6">
        <v>1178.25</v>
      </c>
      <c r="E78" s="6">
        <v>1552.46</v>
      </c>
      <c r="F78" s="6">
        <v>1702.91</v>
      </c>
      <c r="G78" s="6">
        <v>2037.96</v>
      </c>
      <c r="H78" s="10">
        <f t="shared" si="6"/>
        <v>2.03361656931163E-2</v>
      </c>
      <c r="I78" s="10">
        <f t="shared" si="7"/>
        <v>1.2058492228960943E-2</v>
      </c>
      <c r="J78" s="10">
        <f t="shared" si="8"/>
        <v>1.6258804006103075E-2</v>
      </c>
      <c r="K78" s="10">
        <f t="shared" si="9"/>
        <v>2.1422569800394465E-2</v>
      </c>
      <c r="L78" s="10">
        <f t="shared" si="10"/>
        <v>2.3498646238092922E-2</v>
      </c>
      <c r="M78" t="s">
        <v>189</v>
      </c>
    </row>
    <row r="79" spans="1:13" ht="18" x14ac:dyDescent="0.2">
      <c r="A79" s="2" t="s">
        <v>80</v>
      </c>
      <c r="B79" s="4">
        <v>149.5</v>
      </c>
      <c r="C79" s="4">
        <v>156.51</v>
      </c>
      <c r="D79" s="4">
        <v>138.11000000000001</v>
      </c>
      <c r="E79" s="4">
        <v>131.46</v>
      </c>
      <c r="F79" s="4">
        <v>172.1</v>
      </c>
      <c r="G79" s="4">
        <v>150.63</v>
      </c>
      <c r="H79" s="10">
        <f t="shared" si="6"/>
        <v>2.0629672810629405E-3</v>
      </c>
      <c r="I79" s="10">
        <f t="shared" si="7"/>
        <v>2.1596990579208076E-3</v>
      </c>
      <c r="J79" s="10">
        <f t="shared" si="8"/>
        <v>1.9057953925592154E-3</v>
      </c>
      <c r="K79" s="10">
        <f t="shared" si="9"/>
        <v>1.8140312961105963E-3</v>
      </c>
      <c r="L79" s="10">
        <f t="shared" si="10"/>
        <v>2.3748272178657662E-3</v>
      </c>
      <c r="M79" t="s">
        <v>189</v>
      </c>
    </row>
    <row r="80" spans="1:13" ht="18" x14ac:dyDescent="0.2">
      <c r="A80" s="2" t="s">
        <v>81</v>
      </c>
      <c r="B80" s="6">
        <v>1324.23</v>
      </c>
      <c r="C80" s="4">
        <v>717.35</v>
      </c>
      <c r="D80" s="6">
        <v>1040.1400000000001</v>
      </c>
      <c r="E80" s="6">
        <v>1421</v>
      </c>
      <c r="F80" s="6">
        <v>1530.81</v>
      </c>
      <c r="G80" s="6">
        <v>1887.34</v>
      </c>
      <c r="H80" s="10">
        <f t="shared" si="6"/>
        <v>1.8273198412053361E-2</v>
      </c>
      <c r="I80" s="10">
        <f t="shared" si="7"/>
        <v>9.8987931710401364E-3</v>
      </c>
      <c r="J80" s="10">
        <f t="shared" si="8"/>
        <v>1.4353008613543859E-2</v>
      </c>
      <c r="K80" s="10">
        <f t="shared" si="9"/>
        <v>1.9608538504283866E-2</v>
      </c>
      <c r="L80" s="10">
        <f t="shared" si="10"/>
        <v>2.1123819020227155E-2</v>
      </c>
      <c r="M80" t="s">
        <v>189</v>
      </c>
    </row>
    <row r="81" spans="1:13" ht="18" x14ac:dyDescent="0.2">
      <c r="A81" s="2" t="s">
        <v>82</v>
      </c>
      <c r="B81" s="4">
        <v>936.21</v>
      </c>
      <c r="C81" s="4">
        <v>510.61</v>
      </c>
      <c r="D81" s="4">
        <v>720.39</v>
      </c>
      <c r="E81" s="4">
        <v>812.87</v>
      </c>
      <c r="F81" s="6">
        <v>1164.6099999999999</v>
      </c>
      <c r="G81" s="6">
        <v>1471.33</v>
      </c>
      <c r="H81" s="10">
        <f t="shared" si="6"/>
        <v>1.2918866877618297E-2</v>
      </c>
      <c r="I81" s="10">
        <f t="shared" si="7"/>
        <v>7.0459647049066756E-3</v>
      </c>
      <c r="J81" s="10">
        <f t="shared" si="8"/>
        <v>9.9407424722737902E-3</v>
      </c>
      <c r="K81" s="10">
        <f t="shared" si="9"/>
        <v>1.1216884372960751E-2</v>
      </c>
      <c r="L81" s="10">
        <f t="shared" si="10"/>
        <v>1.6070584115041545E-2</v>
      </c>
      <c r="M81" t="s">
        <v>188</v>
      </c>
    </row>
    <row r="82" spans="1:13" ht="18" x14ac:dyDescent="0.2">
      <c r="A82" s="2" t="s">
        <v>83</v>
      </c>
      <c r="B82" s="6">
        <v>1804.14</v>
      </c>
      <c r="C82" s="4">
        <v>969.04</v>
      </c>
      <c r="D82" s="6">
        <v>1076.25</v>
      </c>
      <c r="E82" s="6">
        <v>1290.56</v>
      </c>
      <c r="F82" s="6">
        <v>1794.74</v>
      </c>
      <c r="G82" s="6">
        <v>3914.41</v>
      </c>
      <c r="H82" s="10">
        <f t="shared" si="6"/>
        <v>2.4895530370949118E-2</v>
      </c>
      <c r="I82" s="10">
        <f t="shared" si="7"/>
        <v>1.3371891732717267E-2</v>
      </c>
      <c r="J82" s="10">
        <f t="shared" si="8"/>
        <v>1.4851294556815983E-2</v>
      </c>
      <c r="K82" s="10">
        <f t="shared" si="9"/>
        <v>1.7808582302666142E-2</v>
      </c>
      <c r="L82" s="10">
        <f t="shared" si="10"/>
        <v>2.476581871581874E-2</v>
      </c>
      <c r="M82" t="s">
        <v>188</v>
      </c>
    </row>
    <row r="83" spans="1:13" ht="18" x14ac:dyDescent="0.2">
      <c r="A83" s="2" t="s">
        <v>84</v>
      </c>
      <c r="B83" s="4">
        <v>413.8</v>
      </c>
      <c r="C83" s="4">
        <v>77.33</v>
      </c>
      <c r="D83" s="4">
        <v>60.44</v>
      </c>
      <c r="E83" s="4">
        <v>162.15</v>
      </c>
      <c r="F83" s="4">
        <v>425.19</v>
      </c>
      <c r="G83" s="6">
        <v>1357.19</v>
      </c>
      <c r="H83" s="10">
        <f t="shared" si="6"/>
        <v>5.7100726481862521E-3</v>
      </c>
      <c r="I83" s="10">
        <f t="shared" si="7"/>
        <v>1.0670853501310847E-3</v>
      </c>
      <c r="J83" s="10">
        <f t="shared" si="8"/>
        <v>8.3401834426384016E-4</v>
      </c>
      <c r="K83" s="10">
        <f t="shared" si="9"/>
        <v>2.2375260509990354E-3</v>
      </c>
      <c r="L83" s="10">
        <f t="shared" si="10"/>
        <v>5.8672445366899769E-3</v>
      </c>
      <c r="M83" t="s">
        <v>189</v>
      </c>
    </row>
    <row r="84" spans="1:13" ht="18" x14ac:dyDescent="0.2">
      <c r="A84" s="2" t="s">
        <v>85</v>
      </c>
      <c r="B84" s="6">
        <v>1390.35</v>
      </c>
      <c r="C84" s="4">
        <v>891.71</v>
      </c>
      <c r="D84" s="6">
        <v>1015.81</v>
      </c>
      <c r="E84" s="6">
        <v>1128.42</v>
      </c>
      <c r="F84" s="6">
        <v>1369.55</v>
      </c>
      <c r="G84" s="6">
        <v>2557.2199999999998</v>
      </c>
      <c r="H84" s="10">
        <f t="shared" si="6"/>
        <v>1.9185595713885343E-2</v>
      </c>
      <c r="I84" s="10">
        <f t="shared" si="7"/>
        <v>1.2304806382586185E-2</v>
      </c>
      <c r="J84" s="10">
        <f t="shared" si="8"/>
        <v>1.4017276212552143E-2</v>
      </c>
      <c r="K84" s="10">
        <f t="shared" si="9"/>
        <v>1.5571194242789587E-2</v>
      </c>
      <c r="L84" s="10">
        <f t="shared" si="10"/>
        <v>1.8898574179128762E-2</v>
      </c>
      <c r="M84" t="s">
        <v>189</v>
      </c>
    </row>
    <row r="85" spans="1:13" ht="18" x14ac:dyDescent="0.2">
      <c r="A85" s="2" t="s">
        <v>86</v>
      </c>
      <c r="B85" s="4">
        <v>917.94</v>
      </c>
      <c r="C85" s="4">
        <v>582.42999999999995</v>
      </c>
      <c r="D85" s="4">
        <v>601.14</v>
      </c>
      <c r="E85" s="6">
        <v>1004.97</v>
      </c>
      <c r="F85" s="4">
        <v>909.36</v>
      </c>
      <c r="G85" s="6">
        <v>1531.32</v>
      </c>
      <c r="H85" s="10">
        <f t="shared" si="6"/>
        <v>1.2666757096848934E-2</v>
      </c>
      <c r="I85" s="10">
        <f t="shared" si="7"/>
        <v>8.0370169465517598E-3</v>
      </c>
      <c r="J85" s="10">
        <f t="shared" si="8"/>
        <v>8.2951983367102067E-3</v>
      </c>
      <c r="K85" s="10">
        <f t="shared" si="9"/>
        <v>1.386769383578477E-2</v>
      </c>
      <c r="L85" s="10">
        <f t="shared" si="10"/>
        <v>1.2548360713761843E-2</v>
      </c>
      <c r="M85" t="s">
        <v>189</v>
      </c>
    </row>
    <row r="86" spans="1:13" ht="18" x14ac:dyDescent="0.2">
      <c r="A86" s="2" t="s">
        <v>87</v>
      </c>
      <c r="B86" s="4">
        <v>209.38</v>
      </c>
      <c r="C86" s="4">
        <v>174.55</v>
      </c>
      <c r="D86" s="4">
        <v>146.38</v>
      </c>
      <c r="E86" s="4">
        <v>208.11</v>
      </c>
      <c r="F86" s="4">
        <v>229.09</v>
      </c>
      <c r="G86" s="4">
        <v>296.35000000000002</v>
      </c>
      <c r="H86" s="10">
        <f t="shared" si="6"/>
        <v>2.8892581224679494E-3</v>
      </c>
      <c r="I86" s="10">
        <f t="shared" si="7"/>
        <v>2.4086350428731522E-3</v>
      </c>
      <c r="J86" s="10">
        <f t="shared" si="8"/>
        <v>2.0199140508494529E-3</v>
      </c>
      <c r="K86" s="10">
        <f t="shared" si="9"/>
        <v>2.8717332499131006E-3</v>
      </c>
      <c r="L86" s="10">
        <f t="shared" si="10"/>
        <v>3.1612386248743075E-3</v>
      </c>
      <c r="M86" t="s">
        <v>189</v>
      </c>
    </row>
    <row r="87" spans="1:13" ht="18" x14ac:dyDescent="0.2">
      <c r="A87" s="2" t="s">
        <v>89</v>
      </c>
      <c r="B87" s="4">
        <v>574.5</v>
      </c>
      <c r="C87" s="4">
        <v>323.47000000000003</v>
      </c>
      <c r="D87" s="4">
        <v>376.67</v>
      </c>
      <c r="E87" s="4">
        <v>653.53</v>
      </c>
      <c r="F87" s="4">
        <v>527.65</v>
      </c>
      <c r="G87" s="6">
        <v>1017.85</v>
      </c>
      <c r="H87" s="10">
        <f t="shared" si="6"/>
        <v>7.9275899864258148E-3</v>
      </c>
      <c r="I87" s="10">
        <f t="shared" si="7"/>
        <v>4.4635988388323031E-3</v>
      </c>
      <c r="J87" s="10">
        <f t="shared" si="8"/>
        <v>5.1977116104212559E-3</v>
      </c>
      <c r="K87" s="10">
        <f t="shared" si="9"/>
        <v>9.0181338273783492E-3</v>
      </c>
      <c r="L87" s="10">
        <f t="shared" si="10"/>
        <v>7.2811015776111064E-3</v>
      </c>
      <c r="M87" t="s">
        <v>189</v>
      </c>
    </row>
    <row r="88" spans="1:13" ht="18" x14ac:dyDescent="0.2">
      <c r="A88" s="2" t="s">
        <v>90</v>
      </c>
      <c r="B88" s="4">
        <v>134.06</v>
      </c>
      <c r="C88" s="4">
        <v>84.4</v>
      </c>
      <c r="D88" s="4">
        <v>78.09</v>
      </c>
      <c r="E88" s="4">
        <v>143.32</v>
      </c>
      <c r="F88" s="4">
        <v>152.61000000000001</v>
      </c>
      <c r="G88" s="4">
        <v>217.12</v>
      </c>
      <c r="H88" s="10">
        <f t="shared" si="6"/>
        <v>1.849908987955169E-3</v>
      </c>
      <c r="I88" s="10">
        <f t="shared" si="7"/>
        <v>1.1646450737238273E-3</v>
      </c>
      <c r="J88" s="10">
        <f t="shared" si="8"/>
        <v>1.0775726754394983E-3</v>
      </c>
      <c r="K88" s="10">
        <f t="shared" si="9"/>
        <v>1.9776887673708401E-3</v>
      </c>
      <c r="L88" s="10">
        <f t="shared" si="10"/>
        <v>2.1058825201539489E-3</v>
      </c>
      <c r="M88" t="s">
        <v>188</v>
      </c>
    </row>
    <row r="89" spans="1:13" ht="18" x14ac:dyDescent="0.2">
      <c r="A89" s="2" t="s">
        <v>91</v>
      </c>
      <c r="B89" s="6">
        <v>2806.37</v>
      </c>
      <c r="C89" s="6">
        <v>1190.79</v>
      </c>
      <c r="D89" s="6">
        <v>1533.27</v>
      </c>
      <c r="E89" s="6">
        <v>2489.4899999999998</v>
      </c>
      <c r="F89" s="6">
        <v>2956.89</v>
      </c>
      <c r="G89" s="6">
        <v>5909.52</v>
      </c>
      <c r="H89" s="10">
        <f t="shared" si="6"/>
        <v>3.8725414639174609E-2</v>
      </c>
      <c r="I89" s="10">
        <f t="shared" si="7"/>
        <v>1.6431844873691898E-2</v>
      </c>
      <c r="J89" s="10">
        <f t="shared" si="8"/>
        <v>2.1157764836357021E-2</v>
      </c>
      <c r="K89" s="10">
        <f t="shared" si="9"/>
        <v>3.4352751950056049E-2</v>
      </c>
      <c r="L89" s="10">
        <f t="shared" si="10"/>
        <v>4.0802457014730419E-2</v>
      </c>
      <c r="M89" t="s">
        <v>189</v>
      </c>
    </row>
    <row r="90" spans="1:13" ht="18" x14ac:dyDescent="0.2">
      <c r="A90" s="2" t="s">
        <v>92</v>
      </c>
      <c r="B90" s="4">
        <v>134.99</v>
      </c>
      <c r="C90" s="4">
        <v>63.49</v>
      </c>
      <c r="D90" s="4">
        <v>79.69</v>
      </c>
      <c r="E90" s="4">
        <v>239.73</v>
      </c>
      <c r="F90" s="4">
        <v>109.41</v>
      </c>
      <c r="G90" s="4">
        <v>180.27</v>
      </c>
      <c r="H90" s="10">
        <f t="shared" si="6"/>
        <v>1.8627421623457279E-3</v>
      </c>
      <c r="I90" s="10">
        <f t="shared" si="7"/>
        <v>8.7610563661997382E-4</v>
      </c>
      <c r="J90" s="10">
        <f t="shared" si="8"/>
        <v>1.0996512550361585E-3</v>
      </c>
      <c r="K90" s="10">
        <f t="shared" si="9"/>
        <v>3.308061179192098E-3</v>
      </c>
      <c r="L90" s="10">
        <f t="shared" si="10"/>
        <v>1.5097608710441224E-3</v>
      </c>
      <c r="M90" t="s">
        <v>189</v>
      </c>
    </row>
    <row r="91" spans="1:13" ht="18" x14ac:dyDescent="0.2">
      <c r="A91" s="2" t="s">
        <v>93</v>
      </c>
      <c r="B91" s="4">
        <v>692.99</v>
      </c>
      <c r="C91" s="4">
        <v>216.14</v>
      </c>
      <c r="D91" s="4">
        <v>342.95</v>
      </c>
      <c r="E91" s="4">
        <v>676.83</v>
      </c>
      <c r="F91" s="4">
        <v>653.84</v>
      </c>
      <c r="G91" s="6">
        <v>1565.62</v>
      </c>
      <c r="H91" s="10">
        <f t="shared" si="6"/>
        <v>9.5626467966809826E-3</v>
      </c>
      <c r="I91" s="10">
        <f t="shared" si="7"/>
        <v>2.9825401212638389E-3</v>
      </c>
      <c r="J91" s="10">
        <f t="shared" si="8"/>
        <v>4.7324055454216413E-3</v>
      </c>
      <c r="K91" s="10">
        <f t="shared" si="9"/>
        <v>9.3396531427547159E-3</v>
      </c>
      <c r="L91" s="10">
        <f t="shared" si="10"/>
        <v>9.0224115521752041E-3</v>
      </c>
      <c r="M91" t="s">
        <v>189</v>
      </c>
    </row>
    <row r="92" spans="1:13" ht="18" x14ac:dyDescent="0.2">
      <c r="A92" s="2" t="s">
        <v>94</v>
      </c>
      <c r="B92" s="4">
        <v>36.270000000000003</v>
      </c>
      <c r="C92" s="4">
        <v>13.75</v>
      </c>
      <c r="D92" s="4">
        <v>9.83</v>
      </c>
      <c r="E92" s="4">
        <v>25.84</v>
      </c>
      <c r="F92" s="4">
        <v>33.72</v>
      </c>
      <c r="G92" s="4">
        <v>98.56</v>
      </c>
      <c r="H92" s="10">
        <f t="shared" si="6"/>
        <v>5.004938012317916E-4</v>
      </c>
      <c r="I92" s="10">
        <f t="shared" si="7"/>
        <v>1.8973779340879885E-4</v>
      </c>
      <c r="J92" s="10">
        <f t="shared" si="8"/>
        <v>1.3564527339698129E-4</v>
      </c>
      <c r="K92" s="10">
        <f t="shared" si="9"/>
        <v>3.5656906048606271E-4</v>
      </c>
      <c r="L92" s="10">
        <f t="shared" si="10"/>
        <v>4.6530606499961433E-4</v>
      </c>
      <c r="M92" t="s">
        <v>189</v>
      </c>
    </row>
    <row r="93" spans="1:13" ht="18" x14ac:dyDescent="0.2">
      <c r="A93" s="2" t="s">
        <v>95</v>
      </c>
      <c r="B93" s="4">
        <v>397.33</v>
      </c>
      <c r="C93" s="4">
        <v>282.19</v>
      </c>
      <c r="D93" s="4">
        <v>208.64</v>
      </c>
      <c r="E93" s="4">
        <v>307.33999999999997</v>
      </c>
      <c r="F93" s="4">
        <v>401.47</v>
      </c>
      <c r="G93" s="4">
        <v>791.43</v>
      </c>
      <c r="H93" s="10">
        <f t="shared" si="6"/>
        <v>5.4828012694631304E-3</v>
      </c>
      <c r="I93" s="10">
        <f t="shared" si="7"/>
        <v>3.8939714852384692E-3</v>
      </c>
      <c r="J93" s="10">
        <f t="shared" si="8"/>
        <v>2.8790467794044938E-3</v>
      </c>
      <c r="K93" s="10">
        <f t="shared" si="9"/>
        <v>4.241019158273472E-3</v>
      </c>
      <c r="L93" s="10">
        <f t="shared" si="10"/>
        <v>5.5399295941694895E-3</v>
      </c>
      <c r="M93" t="s">
        <v>189</v>
      </c>
    </row>
    <row r="94" spans="1:13" ht="18" x14ac:dyDescent="0.2">
      <c r="A94" s="2" t="s">
        <v>96</v>
      </c>
      <c r="B94" s="4">
        <v>179.57</v>
      </c>
      <c r="C94" s="4">
        <v>114.11</v>
      </c>
      <c r="D94" s="4">
        <v>127.56</v>
      </c>
      <c r="E94" s="4">
        <v>167.91</v>
      </c>
      <c r="F94" s="4">
        <v>229.39</v>
      </c>
      <c r="G94" s="4">
        <v>257.42</v>
      </c>
      <c r="H94" s="10">
        <f t="shared" si="6"/>
        <v>2.4779065863576736E-3</v>
      </c>
      <c r="I94" s="10">
        <f t="shared" si="7"/>
        <v>1.5746166986093117E-3</v>
      </c>
      <c r="J94" s="10">
        <f t="shared" si="8"/>
        <v>1.7602147583437369E-3</v>
      </c>
      <c r="K94" s="10">
        <f t="shared" si="9"/>
        <v>2.317008937547012E-3</v>
      </c>
      <c r="L94" s="10">
        <f t="shared" si="10"/>
        <v>3.1653783585486811E-3</v>
      </c>
      <c r="M94" t="s">
        <v>189</v>
      </c>
    </row>
    <row r="95" spans="1:13" ht="18" x14ac:dyDescent="0.2">
      <c r="A95" s="2" t="s">
        <v>97</v>
      </c>
      <c r="B95" s="6">
        <v>1365.21</v>
      </c>
      <c r="C95" s="4">
        <v>501.12</v>
      </c>
      <c r="D95" s="4">
        <v>764.61</v>
      </c>
      <c r="E95" s="6">
        <v>1071.83</v>
      </c>
      <c r="F95" s="6">
        <v>1529.06</v>
      </c>
      <c r="G95" s="6">
        <v>3016.22</v>
      </c>
      <c r="H95" s="10">
        <f t="shared" si="6"/>
        <v>1.8838686031972821E-2</v>
      </c>
      <c r="I95" s="10">
        <f t="shared" si="7"/>
        <v>6.9150111296739846E-3</v>
      </c>
      <c r="J95" s="10">
        <f t="shared" si="8"/>
        <v>1.0550939215876487E-2</v>
      </c>
      <c r="K95" s="10">
        <f t="shared" si="9"/>
        <v>1.4790302480680209E-2</v>
      </c>
      <c r="L95" s="10">
        <f t="shared" si="10"/>
        <v>2.1099670573793305E-2</v>
      </c>
      <c r="M95" t="s">
        <v>189</v>
      </c>
    </row>
    <row r="96" spans="1:13" ht="18" x14ac:dyDescent="0.2">
      <c r="A96" s="1"/>
      <c r="B96" s="4"/>
      <c r="C96" s="4"/>
      <c r="D96" s="4"/>
      <c r="E96" s="4"/>
      <c r="F96" s="4"/>
      <c r="G96" s="4"/>
      <c r="H96" s="10">
        <f t="shared" si="6"/>
        <v>0</v>
      </c>
      <c r="I96" s="10">
        <f t="shared" si="7"/>
        <v>0</v>
      </c>
      <c r="J96" s="10">
        <f t="shared" si="8"/>
        <v>0</v>
      </c>
      <c r="K96" s="10">
        <f t="shared" si="9"/>
        <v>0</v>
      </c>
      <c r="L96" s="10">
        <f t="shared" si="10"/>
        <v>0</v>
      </c>
    </row>
    <row r="97" spans="1:13" ht="18" x14ac:dyDescent="0.2">
      <c r="A97" s="2" t="s">
        <v>98</v>
      </c>
      <c r="B97" s="6">
        <v>1750.95</v>
      </c>
      <c r="C97" s="4">
        <v>845.17</v>
      </c>
      <c r="D97" s="6">
        <v>1289.3800000000001</v>
      </c>
      <c r="E97" s="6">
        <v>2113.02</v>
      </c>
      <c r="F97" s="6">
        <v>1829.28</v>
      </c>
      <c r="G97" s="6">
        <v>2678.98</v>
      </c>
      <c r="H97" s="10">
        <f t="shared" si="6"/>
        <v>2.4161555590482643E-2</v>
      </c>
      <c r="I97" s="10">
        <f t="shared" si="7"/>
        <v>1.1662595698568329E-2</v>
      </c>
      <c r="J97" s="10">
        <f t="shared" si="8"/>
        <v>1.7792299350213606E-2</v>
      </c>
      <c r="K97" s="10">
        <f t="shared" si="9"/>
        <v>2.9157800162084375E-2</v>
      </c>
      <c r="L97" s="10">
        <f t="shared" si="10"/>
        <v>2.524244005286164E-2</v>
      </c>
      <c r="M97" t="s">
        <v>189</v>
      </c>
    </row>
    <row r="98" spans="1:13" ht="18" x14ac:dyDescent="0.2">
      <c r="A98" s="2" t="s">
        <v>99</v>
      </c>
      <c r="B98" s="4">
        <v>427</v>
      </c>
      <c r="C98" s="4">
        <v>137.08000000000001</v>
      </c>
      <c r="D98" s="4">
        <v>238.74</v>
      </c>
      <c r="E98" s="4">
        <v>656.51</v>
      </c>
      <c r="F98" s="4">
        <v>431.37</v>
      </c>
      <c r="G98" s="4">
        <v>672.67</v>
      </c>
      <c r="H98" s="10">
        <f t="shared" si="6"/>
        <v>5.8922209298586988E-3</v>
      </c>
      <c r="I98" s="10">
        <f t="shared" si="7"/>
        <v>1.8915823069438654E-3</v>
      </c>
      <c r="J98" s="10">
        <f t="shared" si="8"/>
        <v>3.2944000580666646E-3</v>
      </c>
      <c r="K98" s="10">
        <f t="shared" si="9"/>
        <v>9.0592551818771301E-3</v>
      </c>
      <c r="L98" s="10">
        <f t="shared" si="10"/>
        <v>5.9525230503820773E-3</v>
      </c>
    </row>
    <row r="99" spans="1:13" ht="18" x14ac:dyDescent="0.2">
      <c r="A99" s="2" t="s">
        <v>100</v>
      </c>
      <c r="B99" s="4">
        <v>331.8</v>
      </c>
      <c r="C99" s="4">
        <v>113.21</v>
      </c>
      <c r="D99" s="4">
        <v>160.02000000000001</v>
      </c>
      <c r="E99" s="4">
        <v>472.68</v>
      </c>
      <c r="F99" s="4">
        <v>360.87</v>
      </c>
      <c r="G99" s="4">
        <v>557.79999999999995</v>
      </c>
      <c r="H99" s="10">
        <f t="shared" si="6"/>
        <v>4.5785454438574151E-3</v>
      </c>
      <c r="I99" s="10">
        <f t="shared" si="7"/>
        <v>1.5621974975861903E-3</v>
      </c>
      <c r="J99" s="10">
        <f t="shared" si="8"/>
        <v>2.2081339419109816E-3</v>
      </c>
      <c r="K99" s="10">
        <f t="shared" si="9"/>
        <v>6.5225643773433491E-3</v>
      </c>
      <c r="L99" s="10">
        <f t="shared" si="10"/>
        <v>4.9796856369042361E-3</v>
      </c>
    </row>
    <row r="100" spans="1:13" ht="18" x14ac:dyDescent="0.2">
      <c r="A100" s="2" t="s">
        <v>101</v>
      </c>
      <c r="B100" s="4">
        <v>95.2</v>
      </c>
      <c r="C100" s="4">
        <v>23.87</v>
      </c>
      <c r="D100" s="4">
        <v>78.72</v>
      </c>
      <c r="E100" s="4">
        <v>183.83</v>
      </c>
      <c r="F100" s="4">
        <v>70.5</v>
      </c>
      <c r="G100" s="4">
        <v>114.87</v>
      </c>
      <c r="H100" s="10">
        <f t="shared" si="6"/>
        <v>1.3136754860012837E-3</v>
      </c>
      <c r="I100" s="10">
        <f t="shared" si="7"/>
        <v>3.2938480935767485E-4</v>
      </c>
      <c r="J100" s="10">
        <f t="shared" si="8"/>
        <v>1.0862661161556834E-3</v>
      </c>
      <c r="K100" s="10">
        <f t="shared" si="9"/>
        <v>2.5366908045337815E-3</v>
      </c>
      <c r="L100" s="10">
        <f t="shared" si="10"/>
        <v>9.7283741347784143E-4</v>
      </c>
    </row>
    <row r="101" spans="1:13" ht="18" x14ac:dyDescent="0.2">
      <c r="A101" s="2" t="s">
        <v>102</v>
      </c>
      <c r="B101" s="4">
        <v>650.45000000000005</v>
      </c>
      <c r="C101" s="4">
        <v>376.55</v>
      </c>
      <c r="D101" s="4">
        <v>475.32</v>
      </c>
      <c r="E101" s="4">
        <v>631.29999999999995</v>
      </c>
      <c r="F101" s="4">
        <v>706.45</v>
      </c>
      <c r="G101" s="6">
        <v>1079.8800000000001</v>
      </c>
      <c r="H101" s="10">
        <f t="shared" si="6"/>
        <v>8.9756325616547807E-3</v>
      </c>
      <c r="I101" s="10">
        <f t="shared" si="7"/>
        <v>5.1960557169515066E-3</v>
      </c>
      <c r="J101" s="10">
        <f t="shared" si="8"/>
        <v>6.5589940336778377E-3</v>
      </c>
      <c r="K101" s="10">
        <f t="shared" si="9"/>
        <v>8.7113795621072514E-3</v>
      </c>
      <c r="L101" s="10">
        <f t="shared" si="10"/>
        <v>9.7483828475378887E-3</v>
      </c>
    </row>
    <row r="102" spans="1:13" ht="18" x14ac:dyDescent="0.2">
      <c r="A102" s="2" t="s">
        <v>103</v>
      </c>
      <c r="B102" s="4">
        <v>563.02</v>
      </c>
      <c r="C102" s="4">
        <v>316.97000000000003</v>
      </c>
      <c r="D102" s="4">
        <v>390.92</v>
      </c>
      <c r="E102" s="4">
        <v>548.11</v>
      </c>
      <c r="F102" s="4">
        <v>640.74</v>
      </c>
      <c r="G102" s="4">
        <v>933.39</v>
      </c>
      <c r="H102" s="10">
        <f t="shared" si="6"/>
        <v>7.7691761778197763E-3</v>
      </c>
      <c r="I102" s="10">
        <f t="shared" si="7"/>
        <v>4.3739046092208713E-3</v>
      </c>
      <c r="J102" s="10">
        <f t="shared" si="8"/>
        <v>5.3943489599540114E-3</v>
      </c>
      <c r="K102" s="10">
        <f t="shared" si="9"/>
        <v>7.5634314142033997E-3</v>
      </c>
      <c r="L102" s="10">
        <f t="shared" si="10"/>
        <v>8.8416431817275477E-3</v>
      </c>
    </row>
    <row r="103" spans="1:13" ht="18" x14ac:dyDescent="0.2">
      <c r="A103" s="2" t="s">
        <v>104</v>
      </c>
      <c r="B103" s="4">
        <v>87.43</v>
      </c>
      <c r="C103" s="4">
        <v>59.59</v>
      </c>
      <c r="D103" s="4">
        <v>84.4</v>
      </c>
      <c r="E103" s="4">
        <v>83.19</v>
      </c>
      <c r="F103" s="4">
        <v>65.7</v>
      </c>
      <c r="G103" s="4">
        <v>146.49</v>
      </c>
      <c r="H103" s="10">
        <f t="shared" si="6"/>
        <v>1.2064563838350025E-3</v>
      </c>
      <c r="I103" s="10">
        <f t="shared" si="7"/>
        <v>8.2228909885311452E-4</v>
      </c>
      <c r="J103" s="10">
        <f t="shared" si="8"/>
        <v>1.1646450737238273E-3</v>
      </c>
      <c r="K103" s="10">
        <f t="shared" si="9"/>
        <v>1.1479481479038528E-3</v>
      </c>
      <c r="L103" s="10">
        <f t="shared" si="10"/>
        <v>9.0660167468786074E-4</v>
      </c>
    </row>
    <row r="104" spans="1:13" ht="18" x14ac:dyDescent="0.2">
      <c r="A104" s="2" t="s">
        <v>105</v>
      </c>
      <c r="B104" s="4">
        <v>44.56</v>
      </c>
      <c r="C104" s="4">
        <v>3.68</v>
      </c>
      <c r="D104" s="4">
        <v>27.43</v>
      </c>
      <c r="E104" s="4">
        <v>42.7</v>
      </c>
      <c r="F104" s="4">
        <v>81.45</v>
      </c>
      <c r="G104" s="4">
        <v>64.84</v>
      </c>
      <c r="H104" s="10">
        <f t="shared" si="6"/>
        <v>6.1488844176698742E-4</v>
      </c>
      <c r="I104" s="10">
        <f t="shared" si="7"/>
        <v>5.0780733072318531E-5</v>
      </c>
      <c r="J104" s="10">
        <f t="shared" si="8"/>
        <v>3.7850964896024385E-4</v>
      </c>
      <c r="K104" s="10">
        <f t="shared" si="9"/>
        <v>5.892220929858699E-4</v>
      </c>
      <c r="L104" s="10">
        <f t="shared" si="10"/>
        <v>1.1239376925924849E-3</v>
      </c>
    </row>
    <row r="105" spans="1:13" ht="18" x14ac:dyDescent="0.2">
      <c r="A105" s="2" t="s">
        <v>106</v>
      </c>
      <c r="B105" s="4">
        <v>370.49</v>
      </c>
      <c r="C105" s="4">
        <v>178.09</v>
      </c>
      <c r="D105" s="4">
        <v>312.93</v>
      </c>
      <c r="E105" s="4">
        <v>509.29</v>
      </c>
      <c r="F105" s="4">
        <v>386.14</v>
      </c>
      <c r="G105" s="4">
        <v>457.19</v>
      </c>
      <c r="H105" s="10">
        <f t="shared" si="6"/>
        <v>5.1124330967291555E-3</v>
      </c>
      <c r="I105" s="10">
        <f t="shared" si="7"/>
        <v>2.4574839002307627E-3</v>
      </c>
      <c r="J105" s="10">
        <f t="shared" si="8"/>
        <v>4.3181561957393042E-3</v>
      </c>
      <c r="K105" s="10">
        <f t="shared" si="9"/>
        <v>7.0277498767394309E-3</v>
      </c>
      <c r="L105" s="10">
        <f t="shared" si="10"/>
        <v>5.3283892034089878E-3</v>
      </c>
    </row>
    <row r="106" spans="1:13" ht="18" x14ac:dyDescent="0.2">
      <c r="A106" s="2" t="s">
        <v>107</v>
      </c>
      <c r="B106" s="4">
        <v>258.44</v>
      </c>
      <c r="C106" s="4">
        <v>149.77000000000001</v>
      </c>
      <c r="D106" s="4">
        <v>234.95</v>
      </c>
      <c r="E106" s="4">
        <v>273.20999999999998</v>
      </c>
      <c r="F106" s="4">
        <v>223.88</v>
      </c>
      <c r="G106" s="4">
        <v>404.4</v>
      </c>
      <c r="H106" s="10">
        <f t="shared" si="6"/>
        <v>3.5662425693505436E-3</v>
      </c>
      <c r="I106" s="10">
        <f t="shared" si="7"/>
        <v>2.0666930413698768E-3</v>
      </c>
      <c r="J106" s="10">
        <f t="shared" si="8"/>
        <v>3.2421014226470756E-3</v>
      </c>
      <c r="K106" s="10">
        <f t="shared" si="9"/>
        <v>3.7700554572522131E-3</v>
      </c>
      <c r="L106" s="10">
        <f t="shared" si="10"/>
        <v>3.0893452500626827E-3</v>
      </c>
    </row>
    <row r="107" spans="1:13" ht="18" x14ac:dyDescent="0.2">
      <c r="A107" s="1"/>
      <c r="B107" s="4"/>
      <c r="C107" s="4"/>
      <c r="D107" s="4"/>
      <c r="E107" s="4"/>
      <c r="F107" s="4"/>
      <c r="G107" s="4"/>
      <c r="H107" s="10">
        <f t="shared" si="6"/>
        <v>0</v>
      </c>
      <c r="I107" s="10">
        <f t="shared" si="7"/>
        <v>0</v>
      </c>
      <c r="J107" s="10">
        <f t="shared" si="8"/>
        <v>0</v>
      </c>
      <c r="K107" s="10">
        <f t="shared" si="9"/>
        <v>0</v>
      </c>
      <c r="L107" s="10">
        <f t="shared" si="10"/>
        <v>0</v>
      </c>
    </row>
    <row r="108" spans="1:13" ht="18" x14ac:dyDescent="0.2">
      <c r="A108" s="2" t="s">
        <v>108</v>
      </c>
      <c r="B108" s="6">
        <v>10640.28</v>
      </c>
      <c r="C108" s="6">
        <v>4647.99</v>
      </c>
      <c r="D108" s="6">
        <v>7525.18</v>
      </c>
      <c r="E108" s="6">
        <v>8510.93</v>
      </c>
      <c r="F108" s="6">
        <v>15394.35</v>
      </c>
      <c r="G108" s="6">
        <v>17130.14</v>
      </c>
      <c r="H108" s="10">
        <f t="shared" si="6"/>
        <v>0.14682641806921995</v>
      </c>
      <c r="I108" s="10">
        <f t="shared" si="7"/>
        <v>6.4138135737175486E-2</v>
      </c>
      <c r="J108" s="10">
        <f t="shared" si="8"/>
        <v>0.10384080350574727</v>
      </c>
      <c r="K108" s="10">
        <f t="shared" si="9"/>
        <v>0.11744327840412716</v>
      </c>
      <c r="L108" s="10">
        <f t="shared" si="10"/>
        <v>0.21242836363365403</v>
      </c>
      <c r="M108" t="s">
        <v>189</v>
      </c>
    </row>
    <row r="109" spans="1:13" ht="18" x14ac:dyDescent="0.2">
      <c r="A109" s="2" t="s">
        <v>109</v>
      </c>
      <c r="B109" s="6">
        <v>4238.7700000000004</v>
      </c>
      <c r="C109" s="6">
        <v>1205.49</v>
      </c>
      <c r="D109" s="6">
        <v>2646.23</v>
      </c>
      <c r="E109" s="6">
        <v>1923.99</v>
      </c>
      <c r="F109" s="6">
        <v>8005.36</v>
      </c>
      <c r="G109" s="6">
        <v>7503.95</v>
      </c>
      <c r="H109" s="10">
        <f t="shared" si="6"/>
        <v>5.8491263023084682E-2</v>
      </c>
      <c r="I109" s="10">
        <f t="shared" si="7"/>
        <v>1.6634691823736215E-2</v>
      </c>
      <c r="J109" s="10">
        <f t="shared" si="8"/>
        <v>3.6515624803793875E-2</v>
      </c>
      <c r="K109" s="10">
        <f t="shared" si="9"/>
        <v>2.6549353973861448E-2</v>
      </c>
      <c r="L109" s="10">
        <f t="shared" si="10"/>
        <v>0.11046686122494996</v>
      </c>
    </row>
    <row r="110" spans="1:13" ht="18" x14ac:dyDescent="0.2">
      <c r="A110" s="2" t="s">
        <v>110</v>
      </c>
      <c r="B110" s="6">
        <v>2239.4499999999998</v>
      </c>
      <c r="C110" s="4">
        <v>96.28</v>
      </c>
      <c r="D110" s="6">
        <v>1207.24</v>
      </c>
      <c r="E110" s="4">
        <v>799.15</v>
      </c>
      <c r="F110" s="6">
        <v>4768.8999999999996</v>
      </c>
      <c r="G110" s="6">
        <v>4375.24</v>
      </c>
      <c r="H110" s="10">
        <f t="shared" si="6"/>
        <v>3.0902421923587969E-2</v>
      </c>
      <c r="I110" s="10">
        <f t="shared" si="7"/>
        <v>1.3285785272290295E-3</v>
      </c>
      <c r="J110" s="10">
        <f t="shared" si="8"/>
        <v>1.6658840270170061E-2</v>
      </c>
      <c r="K110" s="10">
        <f t="shared" si="9"/>
        <v>1.102756055291939E-2</v>
      </c>
      <c r="L110" s="10">
        <f t="shared" si="10"/>
        <v>6.580658639907061E-2</v>
      </c>
    </row>
    <row r="111" spans="1:13" ht="18" x14ac:dyDescent="0.2">
      <c r="A111" s="2" t="s">
        <v>111</v>
      </c>
      <c r="B111" s="6">
        <v>1969.03</v>
      </c>
      <c r="C111" s="6">
        <v>1109.21</v>
      </c>
      <c r="D111" s="6">
        <v>1438.99</v>
      </c>
      <c r="E111" s="6">
        <v>1124.8399999999999</v>
      </c>
      <c r="F111" s="6">
        <v>3109.53</v>
      </c>
      <c r="G111" s="6">
        <v>3103.61</v>
      </c>
      <c r="H111" s="10">
        <f t="shared" si="6"/>
        <v>2.7170865989507433E-2</v>
      </c>
      <c r="I111" s="10">
        <f t="shared" si="7"/>
        <v>1.5306113296507185E-2</v>
      </c>
      <c r="J111" s="10">
        <f t="shared" si="8"/>
        <v>1.9856784533623818E-2</v>
      </c>
      <c r="K111" s="10">
        <f t="shared" si="9"/>
        <v>1.5521793420942058E-2</v>
      </c>
      <c r="L111" s="10">
        <f t="shared" si="10"/>
        <v>4.290875350825181E-2</v>
      </c>
    </row>
    <row r="112" spans="1:13" ht="18" x14ac:dyDescent="0.2">
      <c r="A112" s="2" t="s">
        <v>112</v>
      </c>
      <c r="B112" s="4">
        <v>30.28</v>
      </c>
      <c r="C112" s="4">
        <v>0</v>
      </c>
      <c r="D112" s="4">
        <v>0</v>
      </c>
      <c r="E112" s="4">
        <v>0</v>
      </c>
      <c r="F112" s="4">
        <v>126.93</v>
      </c>
      <c r="G112" s="4">
        <v>25.1</v>
      </c>
      <c r="H112" s="10">
        <f t="shared" si="6"/>
        <v>4.1783711886679488E-4</v>
      </c>
      <c r="I112" s="10">
        <f t="shared" si="7"/>
        <v>0</v>
      </c>
      <c r="J112" s="10">
        <f t="shared" si="8"/>
        <v>0</v>
      </c>
      <c r="K112" s="10">
        <f t="shared" si="9"/>
        <v>0</v>
      </c>
      <c r="L112" s="10">
        <f t="shared" si="10"/>
        <v>1.7515213176275521E-3</v>
      </c>
    </row>
    <row r="113" spans="1:13" ht="18" x14ac:dyDescent="0.2">
      <c r="A113" s="2" t="s">
        <v>113</v>
      </c>
      <c r="B113" s="6">
        <v>2290.4899999999998</v>
      </c>
      <c r="C113" s="6">
        <v>1374.84</v>
      </c>
      <c r="D113" s="6">
        <v>1906.6</v>
      </c>
      <c r="E113" s="6">
        <v>2464.9299999999998</v>
      </c>
      <c r="F113" s="6">
        <v>2819.1</v>
      </c>
      <c r="G113" s="6">
        <v>2844.98</v>
      </c>
      <c r="H113" s="10">
        <f t="shared" si="6"/>
        <v>3.160672861272143E-2</v>
      </c>
      <c r="I113" s="10">
        <f t="shared" si="7"/>
        <v>1.8971571482920217E-2</v>
      </c>
      <c r="J113" s="10">
        <f t="shared" si="8"/>
        <v>2.6309387411870246E-2</v>
      </c>
      <c r="K113" s="10">
        <f t="shared" si="9"/>
        <v>3.4013845753247313E-2</v>
      </c>
      <c r="L113" s="10">
        <f t="shared" si="10"/>
        <v>3.8901077338090534E-2</v>
      </c>
    </row>
    <row r="114" spans="1:13" ht="18" x14ac:dyDescent="0.2">
      <c r="A114" s="2" t="s">
        <v>115</v>
      </c>
      <c r="B114" s="6">
        <v>3725.87</v>
      </c>
      <c r="C114" s="6">
        <v>1986.38</v>
      </c>
      <c r="D114" s="6">
        <v>2764.71</v>
      </c>
      <c r="E114" s="6">
        <v>3797.04</v>
      </c>
      <c r="F114" s="6">
        <v>4202.83</v>
      </c>
      <c r="G114" s="6">
        <v>5837.78</v>
      </c>
      <c r="H114" s="10">
        <f t="shared" si="6"/>
        <v>5.1413698351130285E-2</v>
      </c>
      <c r="I114" s="10">
        <f t="shared" si="7"/>
        <v>2.7410280587008718E-2</v>
      </c>
      <c r="J114" s="10">
        <f t="shared" si="8"/>
        <v>3.8150543622926567E-2</v>
      </c>
      <c r="K114" s="10">
        <f t="shared" si="9"/>
        <v>5.2395781169814228E-2</v>
      </c>
      <c r="L114" s="10">
        <f t="shared" si="10"/>
        <v>5.7995322928894699E-2</v>
      </c>
    </row>
    <row r="115" spans="1:13" ht="18" x14ac:dyDescent="0.2">
      <c r="A115" s="2" t="s">
        <v>116</v>
      </c>
      <c r="B115" s="4">
        <v>226.94</v>
      </c>
      <c r="C115" s="4">
        <v>66.97</v>
      </c>
      <c r="D115" s="4">
        <v>160.63999999999999</v>
      </c>
      <c r="E115" s="4">
        <v>245.03</v>
      </c>
      <c r="F115" s="4">
        <v>307.86</v>
      </c>
      <c r="G115" s="4">
        <v>348.11</v>
      </c>
      <c r="H115" s="10">
        <f t="shared" si="6"/>
        <v>3.1315705335412955E-3</v>
      </c>
      <c r="I115" s="10">
        <f t="shared" si="7"/>
        <v>9.2412654724270975E-4</v>
      </c>
      <c r="J115" s="10">
        <f t="shared" si="8"/>
        <v>2.2166893915046872E-3</v>
      </c>
      <c r="K115" s="10">
        <f t="shared" si="9"/>
        <v>3.3811964741060352E-3</v>
      </c>
      <c r="L115" s="10">
        <f t="shared" si="10"/>
        <v>4.2481946966423864E-3</v>
      </c>
    </row>
    <row r="116" spans="1:13" ht="18" x14ac:dyDescent="0.2">
      <c r="A116" s="2" t="s">
        <v>117</v>
      </c>
      <c r="B116" s="4">
        <v>974.87</v>
      </c>
      <c r="C116" s="4">
        <v>557.36</v>
      </c>
      <c r="D116" s="4">
        <v>839.15</v>
      </c>
      <c r="E116" s="4">
        <v>969.99</v>
      </c>
      <c r="F116" s="6">
        <v>1186.8</v>
      </c>
      <c r="G116" s="6">
        <v>1321.36</v>
      </c>
      <c r="H116" s="10">
        <f t="shared" si="6"/>
        <v>1.34523405571226E-2</v>
      </c>
      <c r="I116" s="10">
        <f t="shared" si="7"/>
        <v>7.6910732024965912E-3</v>
      </c>
      <c r="J116" s="10">
        <f t="shared" si="8"/>
        <v>1.1579525042835895E-2</v>
      </c>
      <c r="K116" s="10">
        <f t="shared" si="9"/>
        <v>1.3385000889352785E-2</v>
      </c>
      <c r="L116" s="10">
        <f t="shared" si="10"/>
        <v>1.6376786415822724E-2</v>
      </c>
    </row>
    <row r="117" spans="1:13" ht="18" x14ac:dyDescent="0.2">
      <c r="A117" s="2" t="s">
        <v>118</v>
      </c>
      <c r="B117" s="4">
        <v>811.31</v>
      </c>
      <c r="C117" s="4">
        <v>455.93</v>
      </c>
      <c r="D117" s="4">
        <v>358.96</v>
      </c>
      <c r="E117" s="4">
        <v>816.78</v>
      </c>
      <c r="F117" s="4">
        <v>655.33000000000004</v>
      </c>
      <c r="G117" s="6">
        <v>1760.6</v>
      </c>
      <c r="H117" s="10">
        <f t="shared" si="6"/>
        <v>1.1195357757854007E-2</v>
      </c>
      <c r="I117" s="10">
        <f t="shared" si="7"/>
        <v>6.2914292471908115E-3</v>
      </c>
      <c r="J117" s="10">
        <f t="shared" si="8"/>
        <v>4.9533293325107223E-3</v>
      </c>
      <c r="K117" s="10">
        <f t="shared" si="9"/>
        <v>1.1270838901850089E-2</v>
      </c>
      <c r="L117" s="10">
        <f t="shared" si="10"/>
        <v>9.0429722294245937E-3</v>
      </c>
    </row>
    <row r="118" spans="1:13" ht="18" x14ac:dyDescent="0.2">
      <c r="A118" s="2" t="s">
        <v>119</v>
      </c>
      <c r="B118" s="6">
        <v>1712.75</v>
      </c>
      <c r="C118" s="4">
        <v>906.12</v>
      </c>
      <c r="D118" s="6">
        <v>1405.97</v>
      </c>
      <c r="E118" s="6">
        <v>1765.24</v>
      </c>
      <c r="F118" s="6">
        <v>2052.84</v>
      </c>
      <c r="G118" s="6">
        <v>2407.71</v>
      </c>
      <c r="H118" s="10">
        <f t="shared" si="6"/>
        <v>2.3634429502612381E-2</v>
      </c>
      <c r="I118" s="10">
        <f t="shared" si="7"/>
        <v>1.2503651590078605E-2</v>
      </c>
      <c r="J118" s="10">
        <f t="shared" si="8"/>
        <v>1.9401137847197741E-2</v>
      </c>
      <c r="K118" s="10">
        <f t="shared" si="9"/>
        <v>2.4358744904505316E-2</v>
      </c>
      <c r="L118" s="10">
        <f t="shared" si="10"/>
        <v>2.8327369587004995E-2</v>
      </c>
    </row>
    <row r="119" spans="1:13" ht="18" x14ac:dyDescent="0.2">
      <c r="A119" s="2" t="s">
        <v>120</v>
      </c>
      <c r="B119" s="4">
        <v>385.16</v>
      </c>
      <c r="C119" s="4">
        <v>81.290000000000006</v>
      </c>
      <c r="D119" s="4">
        <v>207.64</v>
      </c>
      <c r="E119" s="4">
        <v>324.98</v>
      </c>
      <c r="F119" s="4">
        <v>367.06</v>
      </c>
      <c r="G119" s="4">
        <v>943.42</v>
      </c>
      <c r="H119" s="10">
        <f t="shared" si="6"/>
        <v>5.3148660734060344E-3</v>
      </c>
      <c r="I119" s="10">
        <f t="shared" si="7"/>
        <v>1.1217298346328189E-3</v>
      </c>
      <c r="J119" s="10">
        <f t="shared" si="8"/>
        <v>2.8652476671565813E-3</v>
      </c>
      <c r="K119" s="10">
        <f t="shared" si="9"/>
        <v>4.4844354983266509E-3</v>
      </c>
      <c r="L119" s="10">
        <f t="shared" si="10"/>
        <v>5.0651021417188148E-3</v>
      </c>
    </row>
    <row r="120" spans="1:13" ht="18" x14ac:dyDescent="0.2">
      <c r="A120" s="1"/>
      <c r="B120" s="4"/>
      <c r="C120" s="4"/>
      <c r="D120" s="4"/>
      <c r="E120" s="4"/>
      <c r="F120" s="4"/>
      <c r="G120" s="4"/>
      <c r="H120" s="10">
        <f t="shared" si="6"/>
        <v>0</v>
      </c>
      <c r="I120" s="10">
        <f t="shared" si="7"/>
        <v>0</v>
      </c>
      <c r="J120" s="10">
        <f t="shared" si="8"/>
        <v>0</v>
      </c>
      <c r="K120" s="10">
        <f t="shared" si="9"/>
        <v>0</v>
      </c>
      <c r="L120" s="10">
        <f t="shared" si="10"/>
        <v>0</v>
      </c>
    </row>
    <row r="121" spans="1:13" ht="18" x14ac:dyDescent="0.2">
      <c r="A121" s="2" t="s">
        <v>121</v>
      </c>
      <c r="B121" s="6">
        <v>5154.83</v>
      </c>
      <c r="C121" s="6">
        <v>2622.33</v>
      </c>
      <c r="D121" s="6">
        <v>4196.93</v>
      </c>
      <c r="E121" s="6">
        <v>4624.01</v>
      </c>
      <c r="F121" s="6">
        <v>6097.86</v>
      </c>
      <c r="G121" s="6">
        <v>8227.1299999999992</v>
      </c>
      <c r="H121" s="10">
        <f t="shared" si="6"/>
        <v>7.1132077788907538E-2</v>
      </c>
      <c r="I121" s="10">
        <f t="shared" si="7"/>
        <v>3.6185826021068762E-2</v>
      </c>
      <c r="J121" s="10">
        <f t="shared" si="8"/>
        <v>5.7913908166632021E-2</v>
      </c>
      <c r="K121" s="10">
        <f t="shared" si="9"/>
        <v>6.3807233025470547E-2</v>
      </c>
      <c r="L121" s="10">
        <f t="shared" si="10"/>
        <v>8.4145054612056597E-2</v>
      </c>
      <c r="M121" t="s">
        <v>188</v>
      </c>
    </row>
    <row r="122" spans="1:13" ht="18" x14ac:dyDescent="0.2">
      <c r="A122" s="2" t="s">
        <v>122</v>
      </c>
      <c r="B122" s="6">
        <v>3631.12</v>
      </c>
      <c r="C122" s="6">
        <v>1889.41</v>
      </c>
      <c r="D122" s="6">
        <v>2902.87</v>
      </c>
      <c r="E122" s="6">
        <v>3365.9</v>
      </c>
      <c r="F122" s="6">
        <v>4367.37</v>
      </c>
      <c r="G122" s="6">
        <v>5607.57</v>
      </c>
      <c r="H122" s="10">
        <f t="shared" si="6"/>
        <v>5.0106232465640561E-2</v>
      </c>
      <c r="I122" s="10">
        <f t="shared" si="7"/>
        <v>2.6072180672328631E-2</v>
      </c>
      <c r="J122" s="10">
        <f t="shared" si="8"/>
        <v>4.0057028971098176E-2</v>
      </c>
      <c r="K122" s="10">
        <f t="shared" si="9"/>
        <v>4.6446431915249171E-2</v>
      </c>
      <c r="L122" s="10">
        <f t="shared" si="10"/>
        <v>6.026582885816624E-2</v>
      </c>
    </row>
    <row r="123" spans="1:13" ht="18" x14ac:dyDescent="0.2">
      <c r="A123" s="2" t="s">
        <v>123</v>
      </c>
      <c r="B123" s="4">
        <v>927.49</v>
      </c>
      <c r="C123" s="4">
        <v>343.32</v>
      </c>
      <c r="D123" s="4">
        <v>791.91</v>
      </c>
      <c r="E123" s="4">
        <v>762.87</v>
      </c>
      <c r="F123" s="6">
        <v>1050.17</v>
      </c>
      <c r="G123" s="6">
        <v>1691.2</v>
      </c>
      <c r="H123" s="10">
        <f t="shared" si="6"/>
        <v>1.2798538618816498E-2</v>
      </c>
      <c r="I123" s="10">
        <f t="shared" si="7"/>
        <v>4.7375112169533691E-3</v>
      </c>
      <c r="J123" s="10">
        <f t="shared" si="8"/>
        <v>1.0927654980244502E-2</v>
      </c>
      <c r="K123" s="10">
        <f t="shared" si="9"/>
        <v>1.0526928760565119E-2</v>
      </c>
      <c r="L123" s="10">
        <f t="shared" si="10"/>
        <v>1.4491413709390423E-2</v>
      </c>
    </row>
    <row r="124" spans="1:13" ht="18" x14ac:dyDescent="0.2">
      <c r="A124" s="2" t="s">
        <v>124</v>
      </c>
      <c r="B124" s="4">
        <v>433.88</v>
      </c>
      <c r="C124" s="4">
        <v>276.95999999999998</v>
      </c>
      <c r="D124" s="4">
        <v>373.23</v>
      </c>
      <c r="E124" s="4">
        <v>352.57</v>
      </c>
      <c r="F124" s="4">
        <v>514.44000000000005</v>
      </c>
      <c r="G124" s="4">
        <v>662.41</v>
      </c>
      <c r="H124" s="10">
        <f t="shared" si="6"/>
        <v>5.9871588221243376E-3</v>
      </c>
      <c r="I124" s="10">
        <f t="shared" si="7"/>
        <v>3.8218021281818857E-3</v>
      </c>
      <c r="J124" s="10">
        <f t="shared" si="8"/>
        <v>5.1502426642884361E-3</v>
      </c>
      <c r="K124" s="10">
        <f t="shared" si="9"/>
        <v>4.8651530052465607E-3</v>
      </c>
      <c r="L124" s="10">
        <f t="shared" si="10"/>
        <v>7.0988153048161815E-3</v>
      </c>
    </row>
    <row r="125" spans="1:13" ht="18" x14ac:dyDescent="0.2">
      <c r="A125" s="2" t="s">
        <v>125</v>
      </c>
      <c r="B125" s="4">
        <v>162.34</v>
      </c>
      <c r="C125" s="4">
        <v>112.65</v>
      </c>
      <c r="D125" s="4">
        <v>128.91999999999999</v>
      </c>
      <c r="E125" s="4">
        <v>142.66999999999999</v>
      </c>
      <c r="F125" s="4">
        <v>165.88</v>
      </c>
      <c r="G125" s="4">
        <v>265.95</v>
      </c>
      <c r="H125" s="10">
        <f t="shared" si="6"/>
        <v>2.2401478823261389E-3</v>
      </c>
      <c r="I125" s="10">
        <f t="shared" si="7"/>
        <v>1.5544699947273595E-3</v>
      </c>
      <c r="J125" s="10">
        <f t="shared" si="8"/>
        <v>1.7789815510008979E-3</v>
      </c>
      <c r="K125" s="10">
        <f t="shared" si="9"/>
        <v>1.9687193444096968E-3</v>
      </c>
      <c r="L125" s="10">
        <f t="shared" si="10"/>
        <v>2.2889967396837493E-3</v>
      </c>
    </row>
    <row r="126" spans="1:13" ht="18" x14ac:dyDescent="0.2">
      <c r="A126" s="1"/>
      <c r="B126" s="4"/>
      <c r="C126" s="4"/>
      <c r="D126" s="4"/>
      <c r="E126" s="4"/>
      <c r="F126" s="4"/>
      <c r="G126" s="4"/>
      <c r="H126" s="10">
        <f t="shared" si="6"/>
        <v>0</v>
      </c>
      <c r="I126" s="10">
        <f t="shared" si="7"/>
        <v>0</v>
      </c>
      <c r="J126" s="10">
        <f t="shared" si="8"/>
        <v>0</v>
      </c>
      <c r="K126" s="10">
        <f t="shared" si="9"/>
        <v>0</v>
      </c>
      <c r="L126" s="10">
        <f t="shared" si="10"/>
        <v>0</v>
      </c>
    </row>
    <row r="127" spans="1:13" ht="18" x14ac:dyDescent="0.2">
      <c r="A127" s="2" t="s">
        <v>126</v>
      </c>
      <c r="B127" s="6">
        <v>3322.72</v>
      </c>
      <c r="C127" s="6">
        <v>1650.62</v>
      </c>
      <c r="D127" s="6">
        <v>2054.5100000000002</v>
      </c>
      <c r="E127" s="6">
        <v>2460.66</v>
      </c>
      <c r="F127" s="6">
        <v>4006.5</v>
      </c>
      <c r="G127" s="6">
        <v>6488.37</v>
      </c>
      <c r="H127" s="10">
        <f t="shared" si="6"/>
        <v>4.5850586248384298E-2</v>
      </c>
      <c r="I127" s="10">
        <f t="shared" si="7"/>
        <v>2.2777090658649569E-2</v>
      </c>
      <c r="J127" s="10">
        <f t="shared" si="8"/>
        <v>2.8350414104459008E-2</v>
      </c>
      <c r="K127" s="10">
        <f t="shared" si="9"/>
        <v>3.3954923543948724E-2</v>
      </c>
      <c r="L127" s="10">
        <f t="shared" si="10"/>
        <v>5.5286143221262012E-2</v>
      </c>
    </row>
    <row r="128" spans="1:13" ht="18" x14ac:dyDescent="0.2">
      <c r="A128" s="2" t="s">
        <v>127</v>
      </c>
      <c r="B128" s="4">
        <v>582.23</v>
      </c>
      <c r="C128" s="4">
        <v>198.55</v>
      </c>
      <c r="D128" s="4">
        <v>157.04</v>
      </c>
      <c r="E128" s="4">
        <v>322.79000000000002</v>
      </c>
      <c r="F128" s="4">
        <v>703.67</v>
      </c>
      <c r="G128" s="6">
        <v>1540.18</v>
      </c>
      <c r="H128" s="10">
        <f t="shared" ref="H128:H141" si="11">B128/$B$35</f>
        <v>8.0342571241021794E-3</v>
      </c>
      <c r="I128" s="10">
        <f t="shared" ref="I128:I143" si="12">C128/$B$35</f>
        <v>2.7398137368230555E-3</v>
      </c>
      <c r="J128" s="10">
        <f t="shared" ref="J128:J143" si="13">D128/$B$35</f>
        <v>2.1670125874122016E-3</v>
      </c>
      <c r="K128" s="10">
        <f t="shared" ref="K128:K143" si="14">E128/$B$35</f>
        <v>4.454215442503723E-3</v>
      </c>
      <c r="L128" s="10">
        <f t="shared" ref="L128:L143" si="15">F128/$B$35</f>
        <v>9.71002131548869E-3</v>
      </c>
    </row>
    <row r="129" spans="1:13" ht="18" x14ac:dyDescent="0.2">
      <c r="A129" s="2" t="s">
        <v>128</v>
      </c>
      <c r="B129" s="6">
        <v>1041.08</v>
      </c>
      <c r="C129" s="4">
        <v>649.51</v>
      </c>
      <c r="D129" s="4">
        <v>822.77</v>
      </c>
      <c r="E129" s="6">
        <v>1004.94</v>
      </c>
      <c r="F129" s="6">
        <v>1134.33</v>
      </c>
      <c r="G129" s="6">
        <v>1586.82</v>
      </c>
      <c r="H129" s="10">
        <f t="shared" si="11"/>
        <v>1.4365979779056895E-2</v>
      </c>
      <c r="I129" s="10">
        <f t="shared" si="12"/>
        <v>8.9626613961417412E-3</v>
      </c>
      <c r="J129" s="10">
        <f t="shared" si="13"/>
        <v>1.1353495584215086E-2</v>
      </c>
      <c r="K129" s="10">
        <f t="shared" si="14"/>
        <v>1.3867279862417333E-2</v>
      </c>
      <c r="L129" s="10">
        <f t="shared" si="15"/>
        <v>1.5652746996174749E-2</v>
      </c>
    </row>
    <row r="130" spans="1:13" ht="18" x14ac:dyDescent="0.2">
      <c r="A130" s="2" t="s">
        <v>129</v>
      </c>
      <c r="B130" s="6">
        <v>1071.1300000000001</v>
      </c>
      <c r="C130" s="4">
        <v>688.57</v>
      </c>
      <c r="D130" s="4">
        <v>876.86</v>
      </c>
      <c r="E130" s="4">
        <v>764.34</v>
      </c>
      <c r="F130" s="6">
        <v>1249.71</v>
      </c>
      <c r="G130" s="6">
        <v>1806.26</v>
      </c>
      <c r="H130" s="10">
        <f t="shared" si="11"/>
        <v>1.4780643102106672E-2</v>
      </c>
      <c r="I130" s="10">
        <f t="shared" si="12"/>
        <v>9.5016547205452103E-3</v>
      </c>
      <c r="J130" s="10">
        <f t="shared" si="13"/>
        <v>1.2099889565704682E-2</v>
      </c>
      <c r="K130" s="10">
        <f t="shared" si="14"/>
        <v>1.0547213455569551E-2</v>
      </c>
      <c r="L130" s="10">
        <f t="shared" si="15"/>
        <v>1.7244888567338912E-2</v>
      </c>
    </row>
    <row r="131" spans="1:13" ht="18" x14ac:dyDescent="0.2">
      <c r="A131" s="2" t="s">
        <v>130</v>
      </c>
      <c r="B131" s="4">
        <v>874.83</v>
      </c>
      <c r="C131" s="4">
        <v>586.86</v>
      </c>
      <c r="D131" s="4">
        <v>700.03</v>
      </c>
      <c r="E131" s="4">
        <v>595.42999999999995</v>
      </c>
      <c r="F131" s="6">
        <v>1035.8499999999999</v>
      </c>
      <c r="G131" s="6">
        <v>1487.74</v>
      </c>
      <c r="H131" s="10">
        <f t="shared" si="11"/>
        <v>1.2071877367841419E-2</v>
      </c>
      <c r="I131" s="10">
        <f t="shared" si="12"/>
        <v>8.0981470138100139E-3</v>
      </c>
      <c r="J131" s="10">
        <f t="shared" si="13"/>
        <v>9.659792546906288E-3</v>
      </c>
      <c r="K131" s="10">
        <f t="shared" si="14"/>
        <v>8.2164054057746252E-3</v>
      </c>
      <c r="L131" s="10">
        <f t="shared" si="15"/>
        <v>1.4293810422000312E-2</v>
      </c>
    </row>
    <row r="132" spans="1:13" ht="18" x14ac:dyDescent="0.2">
      <c r="A132" s="2" t="s">
        <v>131</v>
      </c>
      <c r="B132" s="4">
        <v>196.29</v>
      </c>
      <c r="C132" s="4">
        <v>101.72</v>
      </c>
      <c r="D132" s="4">
        <v>176.83</v>
      </c>
      <c r="E132" s="4">
        <v>168.91</v>
      </c>
      <c r="F132" s="4">
        <v>213.86</v>
      </c>
      <c r="G132" s="4">
        <v>318.52</v>
      </c>
      <c r="H132" s="10">
        <f t="shared" si="11"/>
        <v>2.7086277431427729E-3</v>
      </c>
      <c r="I132" s="10">
        <f t="shared" si="12"/>
        <v>1.4036456978576742E-3</v>
      </c>
      <c r="J132" s="10">
        <f t="shared" si="13"/>
        <v>2.440097018798393E-3</v>
      </c>
      <c r="K132" s="10">
        <f t="shared" si="14"/>
        <v>2.3308080497949249E-3</v>
      </c>
      <c r="L132" s="10">
        <f t="shared" si="15"/>
        <v>2.9510781453385981E-3</v>
      </c>
    </row>
    <row r="133" spans="1:13" ht="18" x14ac:dyDescent="0.2">
      <c r="A133" s="2" t="s">
        <v>132</v>
      </c>
      <c r="B133" s="4">
        <v>628.28</v>
      </c>
      <c r="C133" s="4">
        <v>113.99</v>
      </c>
      <c r="D133" s="4">
        <v>197.84</v>
      </c>
      <c r="E133" s="4">
        <v>368.59</v>
      </c>
      <c r="F133" s="4">
        <v>918.78</v>
      </c>
      <c r="G133" s="6">
        <v>1555.11</v>
      </c>
      <c r="H133" s="10">
        <f t="shared" si="11"/>
        <v>8.6697062431185558E-3</v>
      </c>
      <c r="I133" s="10">
        <f t="shared" si="12"/>
        <v>1.5729608051395622E-3</v>
      </c>
      <c r="J133" s="10">
        <f t="shared" si="13"/>
        <v>2.7300163671270376E-3</v>
      </c>
      <c r="K133" s="10">
        <f t="shared" si="14"/>
        <v>5.0862147834581208E-3</v>
      </c>
      <c r="L133" s="10">
        <f t="shared" si="15"/>
        <v>1.2678348351137179E-2</v>
      </c>
    </row>
    <row r="134" spans="1:13" ht="18" x14ac:dyDescent="0.2">
      <c r="A134" s="1"/>
      <c r="B134" s="4"/>
      <c r="C134" s="4"/>
      <c r="D134" s="4"/>
      <c r="E134" s="4"/>
      <c r="F134" s="4"/>
      <c r="G134" s="4"/>
      <c r="H134" s="10">
        <f t="shared" si="11"/>
        <v>0</v>
      </c>
      <c r="I134" s="10">
        <f t="shared" si="12"/>
        <v>0</v>
      </c>
      <c r="J134" s="10">
        <f t="shared" si="13"/>
        <v>0</v>
      </c>
      <c r="K134" s="10">
        <f t="shared" si="14"/>
        <v>0</v>
      </c>
      <c r="L134" s="10">
        <f t="shared" si="15"/>
        <v>0</v>
      </c>
    </row>
    <row r="135" spans="1:13" ht="18" x14ac:dyDescent="0.2">
      <c r="A135" s="2" t="s">
        <v>133</v>
      </c>
      <c r="B135" s="4">
        <v>822.72</v>
      </c>
      <c r="C135" s="4">
        <v>464.33</v>
      </c>
      <c r="D135" s="4">
        <v>536.42999999999995</v>
      </c>
      <c r="E135" s="4">
        <v>783.11</v>
      </c>
      <c r="F135" s="6">
        <v>1080.94</v>
      </c>
      <c r="G135" s="6">
        <v>1253.03</v>
      </c>
      <c r="H135" s="10">
        <f t="shared" si="11"/>
        <v>1.1352805628602691E-2</v>
      </c>
      <c r="I135" s="10">
        <f t="shared" si="12"/>
        <v>6.4073417900732781E-3</v>
      </c>
      <c r="J135" s="10">
        <f t="shared" si="13"/>
        <v>7.402257783147779E-3</v>
      </c>
      <c r="K135" s="10">
        <f t="shared" si="14"/>
        <v>1.080622279246287E-2</v>
      </c>
      <c r="L135" s="10">
        <f t="shared" si="15"/>
        <v>1.4916012393258694E-2</v>
      </c>
    </row>
    <row r="136" spans="1:13" ht="18" x14ac:dyDescent="0.2">
      <c r="A136" s="1"/>
      <c r="B136" s="4"/>
      <c r="C136" s="4"/>
      <c r="D136" s="4"/>
      <c r="E136" s="4"/>
      <c r="F136" s="4"/>
      <c r="G136" s="4"/>
      <c r="H136" s="10">
        <f t="shared" si="11"/>
        <v>0</v>
      </c>
      <c r="I136" s="10">
        <f t="shared" si="12"/>
        <v>0</v>
      </c>
      <c r="J136" s="10">
        <f t="shared" si="13"/>
        <v>0</v>
      </c>
      <c r="K136" s="10">
        <f t="shared" si="14"/>
        <v>0</v>
      </c>
      <c r="L136" s="10">
        <f t="shared" si="15"/>
        <v>0</v>
      </c>
    </row>
    <row r="137" spans="1:13" ht="18" x14ac:dyDescent="0.2">
      <c r="A137" s="2" t="s">
        <v>134</v>
      </c>
      <c r="B137" s="4">
        <v>105.02</v>
      </c>
      <c r="C137" s="4">
        <v>72.11</v>
      </c>
      <c r="D137" s="4">
        <v>76.97</v>
      </c>
      <c r="E137" s="4">
        <v>78.91</v>
      </c>
      <c r="F137" s="4">
        <v>120.57</v>
      </c>
      <c r="G137" s="4">
        <v>180.23</v>
      </c>
      <c r="H137" s="10">
        <f t="shared" si="11"/>
        <v>1.4491827682757859E-3</v>
      </c>
      <c r="I137" s="10">
        <f t="shared" si="12"/>
        <v>9.9505398419698072E-4</v>
      </c>
      <c r="J137" s="10">
        <f t="shared" si="13"/>
        <v>1.0621176697218362E-3</v>
      </c>
      <c r="K137" s="10">
        <f t="shared" si="14"/>
        <v>1.0888879474827866E-3</v>
      </c>
      <c r="L137" s="10">
        <f t="shared" si="15"/>
        <v>1.6637589637308273E-3</v>
      </c>
    </row>
    <row r="138" spans="1:13" ht="18" x14ac:dyDescent="0.2">
      <c r="A138" s="1"/>
      <c r="B138" s="4"/>
      <c r="C138" s="4"/>
      <c r="D138" s="4"/>
      <c r="E138" s="4"/>
      <c r="F138" s="4"/>
      <c r="G138" s="4"/>
      <c r="H138" s="10">
        <f t="shared" si="11"/>
        <v>0</v>
      </c>
      <c r="I138" s="10">
        <f t="shared" si="12"/>
        <v>0</v>
      </c>
      <c r="J138" s="10">
        <f t="shared" si="13"/>
        <v>0</v>
      </c>
      <c r="K138" s="10">
        <f t="shared" si="14"/>
        <v>0</v>
      </c>
      <c r="L138" s="10">
        <f t="shared" si="15"/>
        <v>0</v>
      </c>
    </row>
    <row r="139" spans="1:13" ht="18" x14ac:dyDescent="0.2">
      <c r="A139" s="2" t="s">
        <v>135</v>
      </c>
      <c r="B139" s="6">
        <v>1160.6500000000001</v>
      </c>
      <c r="C139" s="4">
        <v>750.75</v>
      </c>
      <c r="D139" s="4">
        <v>411.99</v>
      </c>
      <c r="E139" s="4">
        <v>723.71</v>
      </c>
      <c r="F139" s="4">
        <v>843.45</v>
      </c>
      <c r="G139" s="6">
        <v>3103.12</v>
      </c>
      <c r="H139" s="10">
        <f t="shared" si="11"/>
        <v>1.6015939630539811E-2</v>
      </c>
      <c r="I139" s="10">
        <f t="shared" si="12"/>
        <v>1.0359683520120417E-2</v>
      </c>
      <c r="J139" s="10">
        <f t="shared" si="13"/>
        <v>5.6850962550175303E-3</v>
      </c>
      <c r="K139" s="10">
        <f t="shared" si="14"/>
        <v>9.9865555249368607E-3</v>
      </c>
      <c r="L139" s="10">
        <f t="shared" si="15"/>
        <v>1.163886122550192E-2</v>
      </c>
    </row>
    <row r="140" spans="1:13" ht="18" x14ac:dyDescent="0.2">
      <c r="A140" s="1"/>
      <c r="B140" s="4"/>
      <c r="C140" s="4"/>
      <c r="D140" s="4"/>
      <c r="E140" s="4"/>
      <c r="F140" s="4"/>
      <c r="G140" s="4"/>
      <c r="H140" s="10">
        <f t="shared" si="11"/>
        <v>0</v>
      </c>
      <c r="I140" s="10">
        <f t="shared" si="12"/>
        <v>0</v>
      </c>
      <c r="J140" s="10">
        <f t="shared" si="13"/>
        <v>0</v>
      </c>
      <c r="K140" s="10">
        <f t="shared" si="14"/>
        <v>0</v>
      </c>
      <c r="L140" s="10">
        <f t="shared" si="15"/>
        <v>0</v>
      </c>
    </row>
    <row r="141" spans="1:13" ht="18" x14ac:dyDescent="0.2">
      <c r="A141" s="2" t="s">
        <v>136</v>
      </c>
      <c r="B141" s="4">
        <v>216.03</v>
      </c>
      <c r="C141" s="4">
        <v>286.07</v>
      </c>
      <c r="D141" s="4">
        <v>242.52</v>
      </c>
      <c r="E141" s="4">
        <v>183.97</v>
      </c>
      <c r="F141" s="4">
        <v>251.55</v>
      </c>
      <c r="G141" s="4">
        <v>120.55</v>
      </c>
      <c r="H141" s="10">
        <f t="shared" si="11"/>
        <v>2.9810222189165687E-3</v>
      </c>
      <c r="I141" s="10">
        <f t="shared" si="12"/>
        <v>3.9475120407603701E-3</v>
      </c>
      <c r="J141" s="10">
        <f t="shared" si="13"/>
        <v>3.3465607023637745E-3</v>
      </c>
      <c r="K141" s="10">
        <f t="shared" si="14"/>
        <v>2.538622680248489E-3</v>
      </c>
      <c r="L141" s="10">
        <f t="shared" si="15"/>
        <v>3.4711666859624257E-3</v>
      </c>
    </row>
    <row r="142" spans="1:13" ht="18" x14ac:dyDescent="0.2">
      <c r="A142" s="1"/>
      <c r="B142" s="4"/>
      <c r="C142" s="4"/>
      <c r="D142" s="4"/>
      <c r="E142" s="4"/>
      <c r="F142" s="4"/>
      <c r="G142" s="4"/>
      <c r="H142" s="10">
        <f>B142/$B$35</f>
        <v>0</v>
      </c>
      <c r="I142" s="10">
        <f t="shared" si="12"/>
        <v>0</v>
      </c>
      <c r="J142" s="10">
        <f t="shared" si="13"/>
        <v>0</v>
      </c>
      <c r="K142" s="10">
        <f t="shared" si="14"/>
        <v>0</v>
      </c>
      <c r="L142" s="10">
        <f t="shared" si="15"/>
        <v>0</v>
      </c>
    </row>
    <row r="143" spans="1:13" ht="18" x14ac:dyDescent="0.2">
      <c r="A143" s="2" t="s">
        <v>137</v>
      </c>
      <c r="B143" s="4">
        <v>963.2</v>
      </c>
      <c r="C143" s="4">
        <v>625.87</v>
      </c>
      <c r="D143" s="4">
        <v>824.12</v>
      </c>
      <c r="E143" s="4">
        <v>792.3</v>
      </c>
      <c r="F143" s="4">
        <v>971.68</v>
      </c>
      <c r="G143" s="6">
        <v>1626.06</v>
      </c>
      <c r="H143" s="10">
        <f t="shared" ref="H143" si="16">B143/$B$35</f>
        <v>1.329130491718946E-2</v>
      </c>
      <c r="I143" s="10">
        <f t="shared" si="12"/>
        <v>8.6364503826010866E-3</v>
      </c>
      <c r="J143" s="10">
        <f t="shared" si="13"/>
        <v>1.1372124385749768E-2</v>
      </c>
      <c r="K143" s="10">
        <f t="shared" si="14"/>
        <v>1.0933036634021188E-2</v>
      </c>
      <c r="L143" s="10">
        <f t="shared" si="15"/>
        <v>1.3408321389051757E-2</v>
      </c>
      <c r="M143" t="s">
        <v>189</v>
      </c>
    </row>
    <row r="144" spans="1:13" ht="18" x14ac:dyDescent="0.2">
      <c r="A144" s="1"/>
      <c r="B144" s="4"/>
      <c r="C144" s="4"/>
      <c r="D144" s="4"/>
      <c r="E144" s="4"/>
      <c r="F144" s="4"/>
      <c r="G144" s="4"/>
      <c r="H144" s="11">
        <f>H143+H97+H64+H95+H89+H108+H78+H80+H91</f>
        <v>0.29933655248223268</v>
      </c>
      <c r="I144" s="11">
        <f>I143+I97+I64+I95+I89+I108+I78+I80+I91+I93</f>
        <v>0.13919951073867612</v>
      </c>
      <c r="J144" s="11">
        <f t="shared" ref="I144:L144" si="17">J143+J97+J64+J95+J89+J108+J78+J80+J91</f>
        <v>0.20432662885065955</v>
      </c>
      <c r="K144" s="11">
        <f t="shared" si="17"/>
        <v>0.26494640493798471</v>
      </c>
      <c r="L144" s="11">
        <f t="shared" si="17"/>
        <v>0.37671590235913771</v>
      </c>
      <c r="M144" s="11">
        <f>AVERAGE(H144:L144)</f>
        <v>0.25690499987373816</v>
      </c>
    </row>
    <row r="145" spans="1:7" ht="18" x14ac:dyDescent="0.2">
      <c r="A145" s="2" t="s">
        <v>138</v>
      </c>
      <c r="B145" s="6">
        <v>1848.23</v>
      </c>
      <c r="C145" s="4">
        <v>640.79</v>
      </c>
      <c r="D145" s="4">
        <v>966.52</v>
      </c>
      <c r="E145" s="6">
        <v>1296.03</v>
      </c>
      <c r="F145" s="6">
        <v>1745.77</v>
      </c>
      <c r="G145" s="6">
        <v>4614.01</v>
      </c>
    </row>
    <row r="146" spans="1:7" ht="18" x14ac:dyDescent="0.2">
      <c r="A146" s="1"/>
      <c r="B146" s="4"/>
      <c r="C146" s="4"/>
      <c r="D146" s="4"/>
      <c r="E146" s="4"/>
      <c r="F146" s="4"/>
      <c r="G146" s="4"/>
    </row>
    <row r="147" spans="1:7" ht="18" x14ac:dyDescent="0.2">
      <c r="A147" s="2" t="s">
        <v>139</v>
      </c>
      <c r="B147" s="6">
        <v>8463.9500000000007</v>
      </c>
      <c r="C147" s="4">
        <v>769.29</v>
      </c>
      <c r="D147" s="6">
        <v>2887.94</v>
      </c>
      <c r="E147" s="6">
        <v>6021.22</v>
      </c>
      <c r="F147" s="6">
        <v>10578.52</v>
      </c>
      <c r="G147" s="6">
        <v>22069.27</v>
      </c>
    </row>
    <row r="148" spans="1:7" ht="18" x14ac:dyDescent="0.2">
      <c r="A148" s="2" t="s">
        <v>140</v>
      </c>
      <c r="B148" s="4">
        <v>392.21</v>
      </c>
      <c r="C148" s="4">
        <v>102.66</v>
      </c>
      <c r="D148" s="4">
        <v>213.67</v>
      </c>
      <c r="E148" s="4">
        <v>325.82</v>
      </c>
      <c r="F148" s="4">
        <v>518.95000000000005</v>
      </c>
      <c r="G148" s="4">
        <v>797.59</v>
      </c>
    </row>
    <row r="149" spans="1:7" ht="18" x14ac:dyDescent="0.2">
      <c r="A149" s="2" t="s">
        <v>141</v>
      </c>
      <c r="B149" s="6">
        <v>8071.74</v>
      </c>
      <c r="C149" s="4">
        <v>666.63</v>
      </c>
      <c r="D149" s="6">
        <v>2674.27</v>
      </c>
      <c r="E149" s="6">
        <v>5695.4</v>
      </c>
      <c r="F149" s="6">
        <v>10059.57</v>
      </c>
      <c r="G149" s="6">
        <v>21271.68</v>
      </c>
    </row>
    <row r="150" spans="1:7" ht="18" x14ac:dyDescent="0.2">
      <c r="A150" s="1"/>
      <c r="B150" s="4"/>
      <c r="C150" s="4"/>
      <c r="D150" s="4"/>
      <c r="E150" s="4"/>
      <c r="F150" s="4"/>
      <c r="G150" s="4"/>
    </row>
    <row r="151" spans="1:7" ht="18" x14ac:dyDescent="0.2">
      <c r="A151" s="2" t="s">
        <v>142</v>
      </c>
      <c r="B151" s="4"/>
      <c r="C151" s="4"/>
      <c r="D151" s="4"/>
      <c r="E151" s="4"/>
      <c r="F151" s="4"/>
      <c r="G151" s="4"/>
    </row>
    <row r="152" spans="1:7" ht="18" x14ac:dyDescent="0.2">
      <c r="A152" s="2" t="s">
        <v>9</v>
      </c>
      <c r="B152" s="6">
        <v>100197.04</v>
      </c>
      <c r="C152" s="6">
        <v>15019.64</v>
      </c>
      <c r="D152" s="6">
        <v>41681.440000000002</v>
      </c>
      <c r="E152" s="6">
        <v>71451.16</v>
      </c>
      <c r="F152" s="6">
        <v>115685.55</v>
      </c>
      <c r="G152" s="6">
        <v>257511.48</v>
      </c>
    </row>
    <row r="153" spans="1:7" ht="18" x14ac:dyDescent="0.2">
      <c r="A153" s="2" t="s">
        <v>143</v>
      </c>
      <c r="B153" s="6">
        <v>79196.990000000005</v>
      </c>
      <c r="C153" s="6">
        <v>5403.34</v>
      </c>
      <c r="D153" s="6">
        <v>26324.69</v>
      </c>
      <c r="E153" s="6">
        <v>56075.17</v>
      </c>
      <c r="F153" s="6">
        <v>93290.51</v>
      </c>
      <c r="G153" s="6">
        <v>215014.99</v>
      </c>
    </row>
    <row r="154" spans="1:7" ht="18" x14ac:dyDescent="0.2">
      <c r="A154" s="2" t="s">
        <v>144</v>
      </c>
      <c r="B154" s="6">
        <v>7817.08</v>
      </c>
      <c r="C154" s="4">
        <v>834</v>
      </c>
      <c r="D154" s="6">
        <v>1957.97</v>
      </c>
      <c r="E154" s="6">
        <v>3395.31</v>
      </c>
      <c r="F154" s="6">
        <v>6702.98</v>
      </c>
      <c r="G154" s="6">
        <v>26432.21</v>
      </c>
    </row>
    <row r="155" spans="1:7" ht="18" x14ac:dyDescent="0.2">
      <c r="A155" s="2" t="s">
        <v>145</v>
      </c>
      <c r="B155" s="6">
        <v>8752.7900000000009</v>
      </c>
      <c r="C155" s="6">
        <v>6141.23</v>
      </c>
      <c r="D155" s="6">
        <v>10001.19</v>
      </c>
      <c r="E155" s="6">
        <v>8681.24</v>
      </c>
      <c r="F155" s="6">
        <v>11480.53</v>
      </c>
      <c r="G155" s="6">
        <v>7398.64</v>
      </c>
    </row>
    <row r="156" spans="1:7" ht="18" x14ac:dyDescent="0.2">
      <c r="A156" s="2" t="s">
        <v>161</v>
      </c>
      <c r="B156" s="6">
        <v>2553.69</v>
      </c>
      <c r="C156" s="4">
        <v>322.63</v>
      </c>
      <c r="D156" s="4">
        <v>948.49</v>
      </c>
      <c r="E156" s="6">
        <v>1425.11</v>
      </c>
      <c r="F156" s="6">
        <v>2822.03</v>
      </c>
      <c r="G156" s="6">
        <v>7294.67</v>
      </c>
    </row>
    <row r="157" spans="1:7" ht="18" x14ac:dyDescent="0.2">
      <c r="A157" s="2" t="s">
        <v>162</v>
      </c>
      <c r="B157" s="4">
        <v>592.33000000000004</v>
      </c>
      <c r="C157" s="6">
        <v>1405.49</v>
      </c>
      <c r="D157" s="4">
        <v>827.25</v>
      </c>
      <c r="E157" s="4">
        <v>324.57</v>
      </c>
      <c r="F157" s="4">
        <v>284.81</v>
      </c>
      <c r="G157" s="4">
        <v>163.77000000000001</v>
      </c>
    </row>
    <row r="158" spans="1:7" ht="18" x14ac:dyDescent="0.2">
      <c r="A158" s="2" t="s">
        <v>163</v>
      </c>
      <c r="B158" s="6">
        <v>1022.19</v>
      </c>
      <c r="C158" s="4">
        <v>597.25</v>
      </c>
      <c r="D158" s="6">
        <v>1315.57</v>
      </c>
      <c r="E158" s="6">
        <v>1339.9</v>
      </c>
      <c r="F158" s="4">
        <v>928.16</v>
      </c>
      <c r="G158" s="4">
        <v>898.55</v>
      </c>
    </row>
    <row r="159" spans="1:7" ht="18" x14ac:dyDescent="0.2">
      <c r="A159" s="2" t="s">
        <v>149</v>
      </c>
      <c r="B159" s="4">
        <v>261.97000000000003</v>
      </c>
      <c r="C159" s="4">
        <v>315.70999999999998</v>
      </c>
      <c r="D159" s="4">
        <v>306.27999999999997</v>
      </c>
      <c r="E159" s="4">
        <v>209.87</v>
      </c>
      <c r="F159" s="4">
        <v>176.54</v>
      </c>
      <c r="G159" s="4">
        <v>308.64</v>
      </c>
    </row>
    <row r="160" spans="1:7" ht="18" x14ac:dyDescent="0.2">
      <c r="A160" s="2" t="s">
        <v>158</v>
      </c>
      <c r="B160" s="6">
        <v>16467.939999999999</v>
      </c>
      <c r="C160" s="4">
        <v>423.34</v>
      </c>
      <c r="D160" s="6">
        <v>1911.44</v>
      </c>
      <c r="E160" s="6">
        <v>7365.65</v>
      </c>
      <c r="F160" s="6">
        <v>14928.15</v>
      </c>
      <c r="G160" s="6">
        <v>58135.81</v>
      </c>
    </row>
    <row r="161" spans="1:7" ht="18" x14ac:dyDescent="0.2">
      <c r="A161" s="2" t="s">
        <v>151</v>
      </c>
      <c r="B161" s="6">
        <v>10348.58</v>
      </c>
      <c r="C161" s="6">
        <v>-1253.0899999999999</v>
      </c>
      <c r="D161" s="4">
        <v>-764.18</v>
      </c>
      <c r="E161" s="6">
        <v>3575.32</v>
      </c>
      <c r="F161" s="6">
        <v>9012.7900000000009</v>
      </c>
      <c r="G161" s="6">
        <v>41493.42</v>
      </c>
    </row>
    <row r="162" spans="1:7" ht="18" x14ac:dyDescent="0.2">
      <c r="A162" s="2" t="s">
        <v>159</v>
      </c>
      <c r="B162" s="6">
        <v>2198.23</v>
      </c>
      <c r="C162" s="6">
        <v>1756.4</v>
      </c>
      <c r="D162" s="6">
        <v>2480.1999999999998</v>
      </c>
      <c r="E162" s="6">
        <v>2504.33</v>
      </c>
      <c r="F162" s="6">
        <v>2847.5</v>
      </c>
      <c r="G162" s="6">
        <v>1361.9</v>
      </c>
    </row>
    <row r="163" spans="1:7" ht="18" x14ac:dyDescent="0.2">
      <c r="A163" s="2" t="s">
        <v>152</v>
      </c>
      <c r="B163" s="6">
        <v>3902.83</v>
      </c>
      <c r="C163" s="4">
        <v>-86.33</v>
      </c>
      <c r="D163" s="4">
        <v>181.26</v>
      </c>
      <c r="E163" s="6">
        <v>1267.5899999999999</v>
      </c>
      <c r="F163" s="6">
        <v>3044.66</v>
      </c>
      <c r="G163" s="6">
        <v>15251.39</v>
      </c>
    </row>
    <row r="164" spans="1:7" ht="18" x14ac:dyDescent="0.2">
      <c r="A164" s="2" t="s">
        <v>153</v>
      </c>
      <c r="B164" s="4">
        <v>18.309999999999999</v>
      </c>
      <c r="C164" s="4">
        <v>6.36</v>
      </c>
      <c r="D164" s="4">
        <v>14.16</v>
      </c>
      <c r="E164" s="4">
        <v>18.399999999999999</v>
      </c>
      <c r="F164" s="4">
        <v>23.2</v>
      </c>
      <c r="G164" s="4">
        <v>29.1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C6B3-A259-F54F-AF6B-82CAAFA4B9B4}">
  <dimension ref="A1:M166"/>
  <sheetViews>
    <sheetView topLeftCell="A128" workbookViewId="0">
      <selection activeCell="H146" sqref="H146"/>
    </sheetView>
  </sheetViews>
  <sheetFormatPr baseColWidth="10" defaultRowHeight="16" x14ac:dyDescent="0.2"/>
  <sheetData>
    <row r="1" spans="1:7" x14ac:dyDescent="0.2">
      <c r="A1" t="s">
        <v>165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166</v>
      </c>
      <c r="B3" s="3">
        <v>14248388</v>
      </c>
      <c r="C3" s="3">
        <v>2735227</v>
      </c>
      <c r="D3" s="3">
        <v>2774747</v>
      </c>
      <c r="E3" s="3">
        <v>2943249</v>
      </c>
      <c r="F3" s="3">
        <v>2945121</v>
      </c>
      <c r="G3" s="3">
        <v>2850043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99022.5</v>
      </c>
      <c r="C6" s="5">
        <v>13584.06</v>
      </c>
      <c r="D6" s="5">
        <v>39369.1</v>
      </c>
      <c r="E6" s="5">
        <v>68070.28</v>
      </c>
      <c r="F6" s="5">
        <v>112527.22</v>
      </c>
      <c r="G6" s="5">
        <v>257105.69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51.7</v>
      </c>
      <c r="C8" s="4">
        <v>60</v>
      </c>
      <c r="D8" s="4">
        <v>52.3</v>
      </c>
      <c r="E8" s="4">
        <v>48.8</v>
      </c>
      <c r="F8" s="4">
        <v>49.1</v>
      </c>
      <c r="G8" s="4">
        <v>48.9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2.7</v>
      </c>
      <c r="E10" s="4">
        <v>2.8</v>
      </c>
      <c r="F10" s="4">
        <v>3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0.4</v>
      </c>
      <c r="D11" s="4">
        <v>0.7</v>
      </c>
      <c r="E11" s="4">
        <v>0.6</v>
      </c>
      <c r="F11" s="4">
        <v>0.6</v>
      </c>
      <c r="G11" s="4">
        <v>0.8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0.5</v>
      </c>
      <c r="E12" s="4">
        <v>0.4</v>
      </c>
      <c r="F12" s="4">
        <v>0.3</v>
      </c>
      <c r="G12" s="4">
        <v>0.3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1.1000000000000001</v>
      </c>
      <c r="E13" s="4">
        <v>1.6</v>
      </c>
      <c r="F13" s="4">
        <v>1.9</v>
      </c>
      <c r="G13" s="4">
        <v>2.1</v>
      </c>
    </row>
    <row r="14" spans="1:7" ht="18" x14ac:dyDescent="0.2">
      <c r="A14" s="2" t="s">
        <v>16</v>
      </c>
      <c r="B14" s="4">
        <v>1.9</v>
      </c>
      <c r="C14" s="4">
        <v>1</v>
      </c>
      <c r="D14" s="4">
        <v>1.6</v>
      </c>
      <c r="E14" s="4">
        <v>1.8</v>
      </c>
      <c r="F14" s="4">
        <v>2.2999999999999998</v>
      </c>
      <c r="G14" s="4">
        <v>2.6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48</v>
      </c>
      <c r="C18" s="4">
        <v>36.1</v>
      </c>
      <c r="D18" s="4">
        <v>40.6</v>
      </c>
      <c r="E18" s="4">
        <v>52.1</v>
      </c>
      <c r="F18" s="4">
        <v>54.5</v>
      </c>
      <c r="G18" s="4">
        <v>55.7</v>
      </c>
    </row>
    <row r="19" spans="1:7" ht="18" x14ac:dyDescent="0.2">
      <c r="A19" s="2" t="s">
        <v>19</v>
      </c>
      <c r="B19" s="4">
        <v>52</v>
      </c>
      <c r="C19" s="4">
        <v>63.9</v>
      </c>
      <c r="D19" s="4">
        <v>59.4</v>
      </c>
      <c r="E19" s="4">
        <v>47.9</v>
      </c>
      <c r="F19" s="4">
        <v>45.5</v>
      </c>
      <c r="G19" s="4">
        <v>44.3</v>
      </c>
    </row>
    <row r="20" spans="1:7" ht="18" x14ac:dyDescent="0.2">
      <c r="A20" s="2" t="s">
        <v>21</v>
      </c>
      <c r="B20" s="4">
        <v>55.4</v>
      </c>
      <c r="C20" s="4">
        <v>41.4</v>
      </c>
      <c r="D20" s="4">
        <v>43.5</v>
      </c>
      <c r="E20" s="4">
        <v>48.4</v>
      </c>
      <c r="F20" s="4">
        <v>63.1</v>
      </c>
      <c r="G20" s="4">
        <v>79.5</v>
      </c>
    </row>
    <row r="21" spans="1:7" ht="18" x14ac:dyDescent="0.2">
      <c r="A21" s="2" t="s">
        <v>22</v>
      </c>
      <c r="B21" s="4">
        <v>34.6</v>
      </c>
      <c r="C21" s="4">
        <v>16</v>
      </c>
      <c r="D21" s="4">
        <v>19.7</v>
      </c>
      <c r="E21" s="4">
        <v>27.9</v>
      </c>
      <c r="F21" s="4">
        <v>47.4</v>
      </c>
      <c r="G21" s="4">
        <v>60.8</v>
      </c>
    </row>
    <row r="22" spans="1:7" ht="18" x14ac:dyDescent="0.2">
      <c r="A22" s="2" t="s">
        <v>23</v>
      </c>
      <c r="B22" s="4">
        <v>20.7</v>
      </c>
      <c r="C22" s="4">
        <v>25.4</v>
      </c>
      <c r="D22" s="4">
        <v>23.8</v>
      </c>
      <c r="E22" s="4">
        <v>20.6</v>
      </c>
      <c r="F22" s="4">
        <v>15.7</v>
      </c>
      <c r="G22" s="4">
        <v>18.600000000000001</v>
      </c>
    </row>
    <row r="23" spans="1:7" ht="18" x14ac:dyDescent="0.2">
      <c r="A23" s="2" t="s">
        <v>24</v>
      </c>
      <c r="B23" s="4">
        <v>44.7</v>
      </c>
      <c r="C23" s="4">
        <v>58.6</v>
      </c>
      <c r="D23" s="4">
        <v>56.5</v>
      </c>
      <c r="E23" s="4">
        <v>51.6</v>
      </c>
      <c r="F23" s="4">
        <v>36.9</v>
      </c>
      <c r="G23" s="4">
        <v>20.5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4.9000000000000004</v>
      </c>
      <c r="C25" s="4">
        <v>8.1999999999999993</v>
      </c>
      <c r="D25" s="4">
        <v>5.0999999999999996</v>
      </c>
      <c r="E25" s="4">
        <v>6.1</v>
      </c>
      <c r="F25" s="4">
        <v>3.1</v>
      </c>
      <c r="G25" s="4">
        <v>2.2000000000000002</v>
      </c>
    </row>
    <row r="26" spans="1:7" ht="18" x14ac:dyDescent="0.2">
      <c r="A26" s="2" t="s">
        <v>172</v>
      </c>
      <c r="B26" s="4">
        <v>95.1</v>
      </c>
      <c r="C26" s="4">
        <v>91.8</v>
      </c>
      <c r="D26" s="4">
        <v>94.9</v>
      </c>
      <c r="E26" s="4">
        <v>93.9</v>
      </c>
      <c r="F26" s="4">
        <v>96.9</v>
      </c>
      <c r="G26" s="4">
        <v>97.8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30.1</v>
      </c>
      <c r="C28" s="4">
        <v>29.3</v>
      </c>
      <c r="D28" s="4">
        <v>38.299999999999997</v>
      </c>
      <c r="E28" s="4">
        <v>34</v>
      </c>
      <c r="F28" s="4">
        <v>29.1</v>
      </c>
      <c r="G28" s="4">
        <v>19.7</v>
      </c>
    </row>
    <row r="29" spans="1:7" ht="18" x14ac:dyDescent="0.2">
      <c r="A29" s="2" t="s">
        <v>30</v>
      </c>
      <c r="B29" s="4">
        <v>70</v>
      </c>
      <c r="C29" s="4">
        <v>70.7</v>
      </c>
      <c r="D29" s="4">
        <v>61.7</v>
      </c>
      <c r="E29" s="4">
        <v>66.099999999999994</v>
      </c>
      <c r="F29" s="4">
        <v>70.900000000000006</v>
      </c>
      <c r="G29" s="4">
        <v>80.3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4.4000000000000004</v>
      </c>
      <c r="C31" s="4">
        <v>6.6</v>
      </c>
      <c r="D31" s="4">
        <v>8.6999999999999993</v>
      </c>
      <c r="E31" s="4">
        <v>3.6</v>
      </c>
      <c r="F31" s="4">
        <v>2.8</v>
      </c>
      <c r="G31" s="4">
        <v>0.7</v>
      </c>
    </row>
    <row r="32" spans="1:7" ht="18" x14ac:dyDescent="0.2">
      <c r="A32" s="2" t="s">
        <v>33</v>
      </c>
      <c r="B32" s="4">
        <v>23.3</v>
      </c>
      <c r="C32" s="4">
        <v>33.700000000000003</v>
      </c>
      <c r="D32" s="4">
        <v>31.1</v>
      </c>
      <c r="E32" s="4">
        <v>25.2</v>
      </c>
      <c r="F32" s="4">
        <v>17</v>
      </c>
      <c r="G32" s="4">
        <v>10.199999999999999</v>
      </c>
    </row>
    <row r="33" spans="1:13" ht="18" x14ac:dyDescent="0.2">
      <c r="A33" s="2" t="s">
        <v>34</v>
      </c>
      <c r="B33" s="4">
        <v>71.599999999999994</v>
      </c>
      <c r="C33" s="4">
        <v>58.7</v>
      </c>
      <c r="D33" s="4">
        <v>59.4</v>
      </c>
      <c r="E33" s="4">
        <v>70.3</v>
      </c>
      <c r="F33" s="4">
        <v>79.900000000000006</v>
      </c>
      <c r="G33" s="4">
        <v>88.8</v>
      </c>
    </row>
    <row r="34" spans="1:13" ht="18" x14ac:dyDescent="0.2">
      <c r="A34" s="2" t="s">
        <v>35</v>
      </c>
      <c r="B34" s="4">
        <v>0.7</v>
      </c>
      <c r="C34" s="4">
        <v>1.1000000000000001</v>
      </c>
      <c r="D34" s="4">
        <v>0.8</v>
      </c>
      <c r="E34" s="4">
        <v>1</v>
      </c>
      <c r="F34" s="4">
        <v>0.3</v>
      </c>
      <c r="G34" s="4">
        <v>0.4</v>
      </c>
    </row>
    <row r="35" spans="1:13" ht="18" x14ac:dyDescent="0.2">
      <c r="A35" s="2" t="s">
        <v>36</v>
      </c>
      <c r="B35" s="4">
        <v>91.2</v>
      </c>
      <c r="C35" s="4">
        <v>74.2</v>
      </c>
      <c r="D35" s="4">
        <v>92.2</v>
      </c>
      <c r="E35" s="4">
        <v>94.2</v>
      </c>
      <c r="F35" s="4">
        <v>97.3</v>
      </c>
      <c r="G35" s="4">
        <v>96.9</v>
      </c>
    </row>
    <row r="36" spans="1:13" ht="18" x14ac:dyDescent="0.2">
      <c r="A36" s="1"/>
    </row>
    <row r="37" spans="1:13" ht="18" x14ac:dyDescent="0.2">
      <c r="A37" s="2" t="s">
        <v>37</v>
      </c>
      <c r="B37" s="5">
        <v>70830.25</v>
      </c>
      <c r="C37" s="5">
        <v>32900.86</v>
      </c>
      <c r="D37" s="5">
        <v>47336.72</v>
      </c>
      <c r="E37" s="5">
        <v>59302.43</v>
      </c>
      <c r="F37" s="5">
        <v>82786.720000000001</v>
      </c>
      <c r="G37" s="5">
        <v>129505.63</v>
      </c>
    </row>
    <row r="38" spans="1:13" ht="18" x14ac:dyDescent="0.2">
      <c r="A38" s="2" t="s">
        <v>38</v>
      </c>
      <c r="B38" s="6">
        <v>9102.1299999999992</v>
      </c>
      <c r="C38" s="6">
        <v>4736.42</v>
      </c>
      <c r="D38" s="6">
        <v>6952.52</v>
      </c>
      <c r="E38" s="6">
        <v>8559.11</v>
      </c>
      <c r="F38" s="6">
        <v>10895.85</v>
      </c>
      <c r="G38" s="6">
        <v>13922.05</v>
      </c>
      <c r="H38" s="10">
        <f>B38/$B$37</f>
        <v>0.12850625262511425</v>
      </c>
      <c r="I38" s="10">
        <f t="shared" ref="I38:L53" si="0">C38/$B$37</f>
        <v>6.6870016694844367E-2</v>
      </c>
      <c r="J38" s="10">
        <f t="shared" si="0"/>
        <v>9.8157496267484587E-2</v>
      </c>
      <c r="K38" s="10">
        <f t="shared" si="0"/>
        <v>0.12083975420106523</v>
      </c>
      <c r="L38" s="10">
        <f t="shared" si="0"/>
        <v>0.15383046085535487</v>
      </c>
      <c r="M38" t="s">
        <v>188</v>
      </c>
    </row>
    <row r="39" spans="1:13" ht="18" x14ac:dyDescent="0.2">
      <c r="A39" s="2" t="s">
        <v>39</v>
      </c>
      <c r="B39" s="6">
        <v>5505.66</v>
      </c>
      <c r="C39" s="6">
        <v>3349.87</v>
      </c>
      <c r="D39" s="6">
        <v>4395.59</v>
      </c>
      <c r="E39" s="6">
        <v>5314.51</v>
      </c>
      <c r="F39" s="6">
        <v>6427.93</v>
      </c>
      <c r="G39" s="6">
        <v>7817.13</v>
      </c>
      <c r="H39" s="10">
        <f t="shared" ref="H39:L64" si="1">B39/$B$37</f>
        <v>7.7730348262218474E-2</v>
      </c>
      <c r="I39" s="10">
        <f t="shared" si="0"/>
        <v>4.7294341047786785E-2</v>
      </c>
      <c r="J39" s="10">
        <f t="shared" si="0"/>
        <v>6.2058089587429102E-2</v>
      </c>
      <c r="K39" s="10">
        <f t="shared" si="0"/>
        <v>7.5031642553852348E-2</v>
      </c>
      <c r="L39" s="10">
        <f t="shared" si="0"/>
        <v>9.0751197405063516E-2</v>
      </c>
      <c r="M39" t="s">
        <v>188</v>
      </c>
    </row>
    <row r="40" spans="1:13" ht="18" x14ac:dyDescent="0.2">
      <c r="A40" s="2" t="s">
        <v>40</v>
      </c>
      <c r="B40" s="4">
        <v>665.26</v>
      </c>
      <c r="C40" s="4">
        <v>453.28</v>
      </c>
      <c r="D40" s="4">
        <v>553.73</v>
      </c>
      <c r="E40" s="4">
        <v>637.70000000000005</v>
      </c>
      <c r="F40" s="4">
        <v>724.64</v>
      </c>
      <c r="G40" s="4">
        <v>937.9</v>
      </c>
      <c r="H40" s="10">
        <f t="shared" si="1"/>
        <v>9.3923147242879982E-3</v>
      </c>
      <c r="I40" s="10">
        <f t="shared" si="0"/>
        <v>6.39952562640962E-3</v>
      </c>
      <c r="J40" s="10">
        <f t="shared" si="0"/>
        <v>7.8177050059826132E-3</v>
      </c>
      <c r="K40" s="10">
        <f t="shared" si="0"/>
        <v>9.0032154340836026E-3</v>
      </c>
      <c r="L40" s="10">
        <f t="shared" si="0"/>
        <v>1.0230657099191376E-2</v>
      </c>
      <c r="M40" t="s">
        <v>188</v>
      </c>
    </row>
    <row r="41" spans="1:13" ht="18" x14ac:dyDescent="0.2">
      <c r="A41" s="2" t="s">
        <v>41</v>
      </c>
      <c r="B41" s="4">
        <v>232.77</v>
      </c>
      <c r="C41" s="4">
        <v>159.52000000000001</v>
      </c>
      <c r="D41" s="4">
        <v>185.12</v>
      </c>
      <c r="E41" s="4">
        <v>215.23</v>
      </c>
      <c r="F41" s="4">
        <v>263.97000000000003</v>
      </c>
      <c r="G41" s="4">
        <v>334.32</v>
      </c>
      <c r="H41" s="10">
        <f t="shared" si="1"/>
        <v>3.2863077569258901E-3</v>
      </c>
      <c r="I41" s="10">
        <f t="shared" si="0"/>
        <v>2.2521450933746527E-3</v>
      </c>
      <c r="J41" s="10">
        <f t="shared" si="0"/>
        <v>2.6135725908068941E-3</v>
      </c>
      <c r="K41" s="10">
        <f t="shared" si="0"/>
        <v>3.0386734481383307E-3</v>
      </c>
      <c r="L41" s="10">
        <f t="shared" si="0"/>
        <v>3.7267975194214338E-3</v>
      </c>
      <c r="M41" t="s">
        <v>188</v>
      </c>
    </row>
    <row r="42" spans="1:13" ht="18" x14ac:dyDescent="0.2">
      <c r="A42" s="2" t="s">
        <v>42</v>
      </c>
      <c r="B42" s="4">
        <v>432.49</v>
      </c>
      <c r="C42" s="4">
        <v>293.75</v>
      </c>
      <c r="D42" s="4">
        <v>368.6</v>
      </c>
      <c r="E42" s="4">
        <v>422.47</v>
      </c>
      <c r="F42" s="4">
        <v>460.68</v>
      </c>
      <c r="G42" s="4">
        <v>603.58000000000004</v>
      </c>
      <c r="H42" s="10">
        <f t="shared" si="1"/>
        <v>6.1060069673621086E-3</v>
      </c>
      <c r="I42" s="10">
        <f t="shared" si="0"/>
        <v>4.147239350418783E-3</v>
      </c>
      <c r="J42" s="10">
        <f t="shared" si="0"/>
        <v>5.2039912325595357E-3</v>
      </c>
      <c r="K42" s="10">
        <f t="shared" si="0"/>
        <v>5.964541985945271E-3</v>
      </c>
      <c r="L42" s="10">
        <f t="shared" si="0"/>
        <v>6.5040007623861276E-3</v>
      </c>
      <c r="M42" t="s">
        <v>188</v>
      </c>
    </row>
    <row r="43" spans="1:13" ht="18" x14ac:dyDescent="0.2">
      <c r="A43" s="2" t="s">
        <v>43</v>
      </c>
      <c r="B43" s="6">
        <v>1191.67</v>
      </c>
      <c r="C43" s="4">
        <v>674.22</v>
      </c>
      <c r="D43" s="4">
        <v>915.48</v>
      </c>
      <c r="E43" s="6">
        <v>1272.08</v>
      </c>
      <c r="F43" s="6">
        <v>1326.46</v>
      </c>
      <c r="G43" s="6">
        <v>1709.34</v>
      </c>
      <c r="H43" s="10">
        <f t="shared" si="1"/>
        <v>1.6824308822854642E-2</v>
      </c>
      <c r="I43" s="10">
        <f t="shared" si="0"/>
        <v>9.5188143483892831E-3</v>
      </c>
      <c r="J43" s="10">
        <f t="shared" si="0"/>
        <v>1.2924986146455788E-2</v>
      </c>
      <c r="K43" s="10">
        <f t="shared" si="0"/>
        <v>1.7959558239593956E-2</v>
      </c>
      <c r="L43" s="10">
        <f t="shared" si="0"/>
        <v>1.8727309306405104E-2</v>
      </c>
      <c r="M43" t="s">
        <v>188</v>
      </c>
    </row>
    <row r="44" spans="1:13" ht="18" x14ac:dyDescent="0.2">
      <c r="A44" s="2" t="s">
        <v>44</v>
      </c>
      <c r="B44" s="4">
        <v>320.17</v>
      </c>
      <c r="C44" s="4">
        <v>205.56</v>
      </c>
      <c r="D44" s="4">
        <v>244.9</v>
      </c>
      <c r="E44" s="4">
        <v>335.36</v>
      </c>
      <c r="F44" s="4">
        <v>346.59</v>
      </c>
      <c r="G44" s="4">
        <v>456.64</v>
      </c>
      <c r="H44" s="10">
        <f t="shared" si="1"/>
        <v>4.520243822378151E-3</v>
      </c>
      <c r="I44" s="10">
        <f t="shared" si="0"/>
        <v>2.9021498582879491E-3</v>
      </c>
      <c r="J44" s="10">
        <f t="shared" si="0"/>
        <v>3.4575622703576512E-3</v>
      </c>
      <c r="K44" s="10">
        <f t="shared" si="0"/>
        <v>4.7347002163623591E-3</v>
      </c>
      <c r="L44" s="10">
        <f t="shared" si="0"/>
        <v>4.8932482943375181E-3</v>
      </c>
      <c r="M44" t="s">
        <v>188</v>
      </c>
    </row>
    <row r="45" spans="1:13" ht="18" x14ac:dyDescent="0.2">
      <c r="A45" s="2" t="s">
        <v>45</v>
      </c>
      <c r="B45" s="4">
        <v>214.07</v>
      </c>
      <c r="C45" s="4">
        <v>106.07</v>
      </c>
      <c r="D45" s="4">
        <v>179.41</v>
      </c>
      <c r="E45" s="4">
        <v>266.07</v>
      </c>
      <c r="F45" s="4">
        <v>240.95</v>
      </c>
      <c r="G45" s="4">
        <v>259.69</v>
      </c>
      <c r="H45" s="10">
        <f t="shared" si="1"/>
        <v>3.0222962646609323E-3</v>
      </c>
      <c r="I45" s="10">
        <f t="shared" si="0"/>
        <v>1.4975240098686648E-3</v>
      </c>
      <c r="J45" s="10">
        <f t="shared" si="0"/>
        <v>2.532957316965562E-3</v>
      </c>
      <c r="K45" s="10">
        <f t="shared" si="0"/>
        <v>3.7564458688201722E-3</v>
      </c>
      <c r="L45" s="10">
        <f t="shared" si="0"/>
        <v>3.4017951369647854E-3</v>
      </c>
      <c r="M45" t="s">
        <v>188</v>
      </c>
    </row>
    <row r="46" spans="1:13" ht="18" x14ac:dyDescent="0.2">
      <c r="A46" s="2" t="s">
        <v>46</v>
      </c>
      <c r="B46" s="4">
        <v>134.06</v>
      </c>
      <c r="C46" s="4">
        <v>54.28</v>
      </c>
      <c r="D46" s="4">
        <v>97.57</v>
      </c>
      <c r="E46" s="4">
        <v>158.01</v>
      </c>
      <c r="F46" s="4">
        <v>146.4</v>
      </c>
      <c r="G46" s="4">
        <v>203.48</v>
      </c>
      <c r="H46" s="10">
        <f t="shared" si="1"/>
        <v>1.8926941525689942E-3</v>
      </c>
      <c r="I46" s="10">
        <f t="shared" si="0"/>
        <v>7.6633924064929888E-4</v>
      </c>
      <c r="J46" s="10">
        <f t="shared" si="0"/>
        <v>1.377518786111866E-3</v>
      </c>
      <c r="K46" s="10">
        <f t="shared" si="0"/>
        <v>2.230826518330798E-3</v>
      </c>
      <c r="L46" s="10">
        <f t="shared" si="0"/>
        <v>2.0669135009406293E-3</v>
      </c>
      <c r="M46" t="s">
        <v>188</v>
      </c>
    </row>
    <row r="47" spans="1:13" ht="18" x14ac:dyDescent="0.2">
      <c r="A47" s="2" t="s">
        <v>47</v>
      </c>
      <c r="B47" s="4">
        <v>235.64</v>
      </c>
      <c r="C47" s="4">
        <v>123.45</v>
      </c>
      <c r="D47" s="4">
        <v>179.49</v>
      </c>
      <c r="E47" s="4">
        <v>245.62</v>
      </c>
      <c r="F47" s="4">
        <v>274.39999999999998</v>
      </c>
      <c r="G47" s="4">
        <v>341.93</v>
      </c>
      <c r="H47" s="10">
        <f t="shared" si="1"/>
        <v>3.326827167770832E-3</v>
      </c>
      <c r="I47" s="10">
        <f t="shared" si="0"/>
        <v>1.7428993967972724E-3</v>
      </c>
      <c r="J47" s="10">
        <f t="shared" si="0"/>
        <v>2.5340867778950379E-3</v>
      </c>
      <c r="K47" s="10">
        <f t="shared" si="0"/>
        <v>3.4677274187229325E-3</v>
      </c>
      <c r="L47" s="10">
        <f t="shared" si="0"/>
        <v>3.8740509881018347E-3</v>
      </c>
      <c r="M47" t="s">
        <v>188</v>
      </c>
    </row>
    <row r="48" spans="1:13" ht="18" x14ac:dyDescent="0.2">
      <c r="A48" s="2" t="s">
        <v>48</v>
      </c>
      <c r="B48" s="4">
        <v>192.31</v>
      </c>
      <c r="C48" s="4">
        <v>104.13</v>
      </c>
      <c r="D48" s="4">
        <v>133.11000000000001</v>
      </c>
      <c r="E48" s="4">
        <v>177.96</v>
      </c>
      <c r="F48" s="4">
        <v>213.96</v>
      </c>
      <c r="G48" s="4">
        <v>326.04000000000002</v>
      </c>
      <c r="H48" s="10">
        <f t="shared" si="1"/>
        <v>2.7150828918435272E-3</v>
      </c>
      <c r="I48" s="10">
        <f t="shared" si="0"/>
        <v>1.4701345823288777E-3</v>
      </c>
      <c r="J48" s="10">
        <f t="shared" si="0"/>
        <v>1.8792818040314699E-3</v>
      </c>
      <c r="K48" s="10">
        <f t="shared" si="0"/>
        <v>2.5124858376188142E-3</v>
      </c>
      <c r="L48" s="10">
        <f t="shared" si="0"/>
        <v>3.0207432558829032E-3</v>
      </c>
      <c r="M48" t="s">
        <v>188</v>
      </c>
    </row>
    <row r="49" spans="1:13" ht="18" x14ac:dyDescent="0.2">
      <c r="A49" s="2" t="s">
        <v>49</v>
      </c>
      <c r="B49" s="4">
        <v>95.42</v>
      </c>
      <c r="C49" s="4">
        <v>80.73</v>
      </c>
      <c r="D49" s="4">
        <v>81.010000000000005</v>
      </c>
      <c r="E49" s="4">
        <v>89.05</v>
      </c>
      <c r="F49" s="4">
        <v>104.16</v>
      </c>
      <c r="G49" s="4">
        <v>121.56</v>
      </c>
      <c r="H49" s="10">
        <f t="shared" si="1"/>
        <v>1.3471645236322052E-3</v>
      </c>
      <c r="I49" s="10">
        <f t="shared" si="0"/>
        <v>1.1397672604572199E-3</v>
      </c>
      <c r="J49" s="10">
        <f t="shared" si="0"/>
        <v>1.1437203737103851E-3</v>
      </c>
      <c r="K49" s="10">
        <f t="shared" si="0"/>
        <v>1.2572311971226983E-3</v>
      </c>
      <c r="L49" s="10">
        <f t="shared" si="0"/>
        <v>1.4705581301774312E-3</v>
      </c>
      <c r="M49" t="s">
        <v>188</v>
      </c>
    </row>
    <row r="50" spans="1:13" ht="18" x14ac:dyDescent="0.2">
      <c r="A50" s="2" t="s">
        <v>50</v>
      </c>
      <c r="B50" s="4">
        <v>543.03</v>
      </c>
      <c r="C50" s="4">
        <v>349.08</v>
      </c>
      <c r="D50" s="4">
        <v>451.58</v>
      </c>
      <c r="E50" s="4">
        <v>515.07000000000005</v>
      </c>
      <c r="F50" s="4">
        <v>622.14</v>
      </c>
      <c r="G50" s="4">
        <v>757.66</v>
      </c>
      <c r="H50" s="10">
        <f t="shared" si="1"/>
        <v>7.6666396066652313E-3</v>
      </c>
      <c r="I50" s="10">
        <f t="shared" si="0"/>
        <v>4.9284027657674504E-3</v>
      </c>
      <c r="J50" s="10">
        <f t="shared" si="0"/>
        <v>6.3755245816582602E-3</v>
      </c>
      <c r="K50" s="10">
        <f t="shared" si="0"/>
        <v>7.2718930118134562E-3</v>
      </c>
      <c r="L50" s="10">
        <f t="shared" si="0"/>
        <v>8.7835352833005673E-3</v>
      </c>
      <c r="M50" t="s">
        <v>188</v>
      </c>
    </row>
    <row r="51" spans="1:13" ht="18" x14ac:dyDescent="0.2">
      <c r="A51" s="2" t="s">
        <v>51</v>
      </c>
      <c r="B51" s="4">
        <v>178.91</v>
      </c>
      <c r="C51" s="4">
        <v>138.77000000000001</v>
      </c>
      <c r="D51" s="4">
        <v>165.61</v>
      </c>
      <c r="E51" s="4">
        <v>170.76</v>
      </c>
      <c r="F51" s="4">
        <v>191.21</v>
      </c>
      <c r="G51" s="4">
        <v>224.18</v>
      </c>
      <c r="H51" s="10">
        <f t="shared" si="1"/>
        <v>2.5258981861563386E-3</v>
      </c>
      <c r="I51" s="10">
        <f t="shared" si="0"/>
        <v>1.9591911647918792E-3</v>
      </c>
      <c r="J51" s="10">
        <f t="shared" si="0"/>
        <v>2.3381253066309948E-3</v>
      </c>
      <c r="K51" s="10">
        <f t="shared" si="0"/>
        <v>2.410834353965996E-3</v>
      </c>
      <c r="L51" s="10">
        <f t="shared" si="0"/>
        <v>2.6995528040632357E-3</v>
      </c>
      <c r="M51" t="s">
        <v>188</v>
      </c>
    </row>
    <row r="52" spans="1:13" ht="18" x14ac:dyDescent="0.2">
      <c r="A52" s="2" t="s">
        <v>52</v>
      </c>
      <c r="B52" s="4">
        <v>364.12</v>
      </c>
      <c r="C52" s="4">
        <v>210.31</v>
      </c>
      <c r="D52" s="4">
        <v>285.95999999999998</v>
      </c>
      <c r="E52" s="4">
        <v>344.31</v>
      </c>
      <c r="F52" s="4">
        <v>430.93</v>
      </c>
      <c r="G52" s="4">
        <v>533.49</v>
      </c>
      <c r="H52" s="10">
        <f t="shared" si="1"/>
        <v>5.1407414205088932E-3</v>
      </c>
      <c r="I52" s="10">
        <f t="shared" si="0"/>
        <v>2.9692116009755721E-3</v>
      </c>
      <c r="J52" s="10">
        <f t="shared" si="0"/>
        <v>4.0372580924110816E-3</v>
      </c>
      <c r="K52" s="10">
        <f t="shared" si="0"/>
        <v>4.8610586578474594E-3</v>
      </c>
      <c r="L52" s="10">
        <f t="shared" si="0"/>
        <v>6.0839824792373312E-3</v>
      </c>
      <c r="M52" t="s">
        <v>188</v>
      </c>
    </row>
    <row r="53" spans="1:13" ht="18" x14ac:dyDescent="0.2">
      <c r="A53" s="2" t="s">
        <v>53</v>
      </c>
      <c r="B53" s="6">
        <v>1152.6600000000001</v>
      </c>
      <c r="C53" s="4">
        <v>718.21</v>
      </c>
      <c r="D53" s="4">
        <v>942.85</v>
      </c>
      <c r="E53" s="6">
        <v>1093.01</v>
      </c>
      <c r="F53" s="6">
        <v>1337.73</v>
      </c>
      <c r="G53" s="6">
        <v>1627.21</v>
      </c>
      <c r="H53" s="10">
        <f t="shared" si="1"/>
        <v>1.6273555437119027E-2</v>
      </c>
      <c r="I53" s="10">
        <f t="shared" si="0"/>
        <v>1.0139876676984764E-2</v>
      </c>
      <c r="J53" s="10">
        <f t="shared" si="0"/>
        <v>1.3311402966952679E-2</v>
      </c>
      <c r="K53" s="10">
        <f t="shared" si="0"/>
        <v>1.5431401131578669E-2</v>
      </c>
      <c r="L53" s="10">
        <f t="shared" si="0"/>
        <v>1.8886422114844998E-2</v>
      </c>
      <c r="M53" t="s">
        <v>188</v>
      </c>
    </row>
    <row r="54" spans="1:13" ht="18" x14ac:dyDescent="0.2">
      <c r="A54" s="2" t="s">
        <v>54</v>
      </c>
      <c r="B54" s="4">
        <v>444.87</v>
      </c>
      <c r="C54" s="4">
        <v>270.33</v>
      </c>
      <c r="D54" s="4">
        <v>360.87</v>
      </c>
      <c r="E54" s="4">
        <v>433.98</v>
      </c>
      <c r="F54" s="4">
        <v>474.39</v>
      </c>
      <c r="G54" s="4">
        <v>668.44</v>
      </c>
      <c r="H54" s="10">
        <f t="shared" si="1"/>
        <v>6.2807910461984817E-3</v>
      </c>
      <c r="I54" s="10">
        <f t="shared" si="1"/>
        <v>3.816589663314756E-3</v>
      </c>
      <c r="J54" s="10">
        <f t="shared" si="1"/>
        <v>5.0948570702489407E-3</v>
      </c>
      <c r="K54" s="10">
        <f t="shared" si="1"/>
        <v>6.1270431771735948E-3</v>
      </c>
      <c r="L54" s="10">
        <f t="shared" si="1"/>
        <v>6.6975621291750342E-3</v>
      </c>
      <c r="M54" t="s">
        <v>188</v>
      </c>
    </row>
    <row r="55" spans="1:13" ht="18" x14ac:dyDescent="0.2">
      <c r="A55" s="2" t="s">
        <v>55</v>
      </c>
      <c r="B55" s="4">
        <v>414.38</v>
      </c>
      <c r="C55" s="4">
        <v>250.69</v>
      </c>
      <c r="D55" s="4">
        <v>339.53</v>
      </c>
      <c r="E55" s="4">
        <v>373.72</v>
      </c>
      <c r="F55" s="4">
        <v>522.24</v>
      </c>
      <c r="G55" s="4">
        <v>568.19000000000005</v>
      </c>
      <c r="H55" s="10">
        <f t="shared" si="1"/>
        <v>5.8503252494520345E-3</v>
      </c>
      <c r="I55" s="10">
        <f t="shared" si="1"/>
        <v>3.5393070051284586E-3</v>
      </c>
      <c r="J55" s="10">
        <f t="shared" si="1"/>
        <v>4.7935733673112827E-3</v>
      </c>
      <c r="K55" s="10">
        <f t="shared" si="1"/>
        <v>5.2762767320459836E-3</v>
      </c>
      <c r="L55" s="10">
        <f t="shared" si="1"/>
        <v>7.3731209476177199E-3</v>
      </c>
      <c r="M55" t="s">
        <v>188</v>
      </c>
    </row>
    <row r="56" spans="1:13" ht="18" x14ac:dyDescent="0.2">
      <c r="A56" s="2" t="s">
        <v>56</v>
      </c>
      <c r="B56" s="4">
        <v>127.68</v>
      </c>
      <c r="C56" s="4">
        <v>79.62</v>
      </c>
      <c r="D56" s="4">
        <v>111.74</v>
      </c>
      <c r="E56" s="4">
        <v>118.43</v>
      </c>
      <c r="F56" s="4">
        <v>151.59</v>
      </c>
      <c r="G56" s="4">
        <v>171.55</v>
      </c>
      <c r="H56" s="10">
        <f t="shared" si="1"/>
        <v>1.8026196434433029E-3</v>
      </c>
      <c r="I56" s="10">
        <f t="shared" si="1"/>
        <v>1.124095990060744E-3</v>
      </c>
      <c r="J56" s="10">
        <f t="shared" si="1"/>
        <v>1.5775745532452588E-3</v>
      </c>
      <c r="K56" s="10">
        <f t="shared" si="1"/>
        <v>1.6720257234726689E-3</v>
      </c>
      <c r="L56" s="10">
        <f t="shared" si="1"/>
        <v>2.1401872787403689E-3</v>
      </c>
      <c r="M56" t="s">
        <v>188</v>
      </c>
    </row>
    <row r="57" spans="1:13" ht="18" x14ac:dyDescent="0.2">
      <c r="A57" s="2" t="s">
        <v>57</v>
      </c>
      <c r="B57" s="4">
        <v>165.72</v>
      </c>
      <c r="C57" s="4">
        <v>117.56</v>
      </c>
      <c r="D57" s="4">
        <v>130.71</v>
      </c>
      <c r="E57" s="4">
        <v>166.88</v>
      </c>
      <c r="F57" s="4">
        <v>189.51</v>
      </c>
      <c r="G57" s="4">
        <v>219.03</v>
      </c>
      <c r="H57" s="10">
        <f t="shared" si="1"/>
        <v>2.3396783154090235E-3</v>
      </c>
      <c r="I57" s="10">
        <f t="shared" si="1"/>
        <v>1.65974283586462E-3</v>
      </c>
      <c r="J57" s="10">
        <f t="shared" si="1"/>
        <v>1.8453979761471971E-3</v>
      </c>
      <c r="K57" s="10">
        <f t="shared" si="1"/>
        <v>2.3560554988864219E-3</v>
      </c>
      <c r="L57" s="10">
        <f t="shared" si="1"/>
        <v>2.6755517593118759E-3</v>
      </c>
      <c r="M57" t="s">
        <v>188</v>
      </c>
    </row>
    <row r="58" spans="1:13" ht="18" x14ac:dyDescent="0.2">
      <c r="A58" s="2" t="s">
        <v>59</v>
      </c>
      <c r="B58" s="6">
        <v>1953.04</v>
      </c>
      <c r="C58" s="6">
        <v>1155.0899999999999</v>
      </c>
      <c r="D58" s="6">
        <v>1531.95</v>
      </c>
      <c r="E58" s="6">
        <v>1796.66</v>
      </c>
      <c r="F58" s="6">
        <v>2416.9499999999998</v>
      </c>
      <c r="G58" s="6">
        <v>2785.02</v>
      </c>
      <c r="H58" s="10">
        <f t="shared" si="1"/>
        <v>2.7573529671291574E-2</v>
      </c>
      <c r="I58" s="10">
        <f t="shared" si="1"/>
        <v>1.6307862812851851E-2</v>
      </c>
      <c r="J58" s="10">
        <f t="shared" si="1"/>
        <v>2.1628470886379762E-2</v>
      </c>
      <c r="K58" s="10">
        <f t="shared" si="1"/>
        <v>2.5365715919398846E-2</v>
      </c>
      <c r="L58" s="10">
        <f t="shared" si="1"/>
        <v>3.4123132418705279E-2</v>
      </c>
      <c r="M58" t="s">
        <v>188</v>
      </c>
    </row>
    <row r="59" spans="1:13" ht="18" x14ac:dyDescent="0.2">
      <c r="A59" s="2" t="s">
        <v>60</v>
      </c>
      <c r="B59" s="4">
        <v>161.58000000000001</v>
      </c>
      <c r="C59" s="4">
        <v>100.5</v>
      </c>
      <c r="D59" s="4">
        <v>132.44</v>
      </c>
      <c r="E59" s="4">
        <v>147.88999999999999</v>
      </c>
      <c r="F59" s="4">
        <v>228.78</v>
      </c>
      <c r="G59" s="4">
        <v>189.99</v>
      </c>
      <c r="H59" s="10">
        <f t="shared" si="1"/>
        <v>2.2812287123086536E-3</v>
      </c>
      <c r="I59" s="10">
        <f t="shared" si="1"/>
        <v>1.4188852926539156E-3</v>
      </c>
      <c r="J59" s="10">
        <f t="shared" si="1"/>
        <v>1.8698225687471101E-3</v>
      </c>
      <c r="K59" s="10">
        <f t="shared" si="1"/>
        <v>2.0879497107521147E-3</v>
      </c>
      <c r="L59" s="10">
        <f t="shared" si="1"/>
        <v>3.2299758930682864E-3</v>
      </c>
      <c r="M59" t="s">
        <v>188</v>
      </c>
    </row>
    <row r="60" spans="1:13" ht="18" x14ac:dyDescent="0.2">
      <c r="A60" s="2" t="s">
        <v>61</v>
      </c>
      <c r="B60" s="4">
        <v>140.35</v>
      </c>
      <c r="C60" s="4">
        <v>85.3</v>
      </c>
      <c r="D60" s="4">
        <v>119.66</v>
      </c>
      <c r="E60" s="4">
        <v>137.29</v>
      </c>
      <c r="F60" s="4">
        <v>169.39</v>
      </c>
      <c r="G60" s="4">
        <v>183.22</v>
      </c>
      <c r="H60" s="10">
        <f t="shared" si="1"/>
        <v>1.9814980181490252E-3</v>
      </c>
      <c r="I60" s="10">
        <f t="shared" si="1"/>
        <v>1.2042877160535223E-3</v>
      </c>
      <c r="J60" s="10">
        <f t="shared" si="1"/>
        <v>1.6893911852633584E-3</v>
      </c>
      <c r="K60" s="10">
        <f t="shared" si="1"/>
        <v>1.9382961375965775E-3</v>
      </c>
      <c r="L60" s="10">
        <f t="shared" si="1"/>
        <v>2.3914923355487236E-3</v>
      </c>
      <c r="M60" t="s">
        <v>188</v>
      </c>
    </row>
    <row r="61" spans="1:13" ht="18" x14ac:dyDescent="0.2">
      <c r="A61" s="2" t="s">
        <v>62</v>
      </c>
      <c r="B61" s="6">
        <v>1064.26</v>
      </c>
      <c r="C61" s="4">
        <v>595.13</v>
      </c>
      <c r="D61" s="4">
        <v>813.32</v>
      </c>
      <c r="E61" s="4">
        <v>977.56</v>
      </c>
      <c r="F61" s="6">
        <v>1246.6400000000001</v>
      </c>
      <c r="G61" s="6">
        <v>1646.27</v>
      </c>
      <c r="H61" s="10">
        <f t="shared" si="1"/>
        <v>1.502550111004832E-2</v>
      </c>
      <c r="I61" s="10">
        <f t="shared" si="1"/>
        <v>8.4022010369863166E-3</v>
      </c>
      <c r="J61" s="10">
        <f t="shared" si="1"/>
        <v>1.148266453951525E-2</v>
      </c>
      <c r="K61" s="10">
        <f t="shared" si="1"/>
        <v>1.380144782772897E-2</v>
      </c>
      <c r="L61" s="10">
        <f t="shared" si="1"/>
        <v>1.7600389664020669E-2</v>
      </c>
      <c r="M61" t="s">
        <v>188</v>
      </c>
    </row>
    <row r="62" spans="1:13" ht="18" x14ac:dyDescent="0.2">
      <c r="A62" s="2" t="s">
        <v>63</v>
      </c>
      <c r="B62" s="4">
        <v>523.53</v>
      </c>
      <c r="C62" s="4">
        <v>354.15</v>
      </c>
      <c r="D62" s="4">
        <v>422.98</v>
      </c>
      <c r="E62" s="4">
        <v>481.82</v>
      </c>
      <c r="F62" s="4">
        <v>681.01</v>
      </c>
      <c r="G62" s="4">
        <v>658.57</v>
      </c>
      <c r="H62" s="10">
        <f t="shared" si="1"/>
        <v>7.3913335051055164E-3</v>
      </c>
      <c r="I62" s="10">
        <f t="shared" si="1"/>
        <v>4.9999823521729766E-3</v>
      </c>
      <c r="J62" s="10">
        <f t="shared" si="1"/>
        <v>5.9717422993706788E-3</v>
      </c>
      <c r="K62" s="10">
        <f t="shared" si="1"/>
        <v>6.802460813000095E-3</v>
      </c>
      <c r="L62" s="10">
        <f t="shared" si="1"/>
        <v>9.6146773447785376E-3</v>
      </c>
      <c r="M62" t="s">
        <v>189</v>
      </c>
    </row>
    <row r="63" spans="1:13" ht="18" x14ac:dyDescent="0.2">
      <c r="A63" s="2" t="s">
        <v>175</v>
      </c>
      <c r="B63" s="4">
        <v>63.32</v>
      </c>
      <c r="C63" s="4">
        <v>20.02</v>
      </c>
      <c r="D63" s="4">
        <v>43.55</v>
      </c>
      <c r="E63" s="4">
        <v>52.1</v>
      </c>
      <c r="F63" s="4">
        <v>91.14</v>
      </c>
      <c r="G63" s="4">
        <v>106.98</v>
      </c>
      <c r="H63" s="10">
        <f t="shared" si="1"/>
        <v>8.9396832568005907E-4</v>
      </c>
      <c r="I63" s="10">
        <f t="shared" si="1"/>
        <v>2.8264759760130733E-4</v>
      </c>
      <c r="J63" s="10">
        <f t="shared" si="1"/>
        <v>6.1485029348336338E-4</v>
      </c>
      <c r="K63" s="10">
        <f t="shared" si="1"/>
        <v>7.3556143032108457E-4</v>
      </c>
      <c r="L63" s="10">
        <f t="shared" si="1"/>
        <v>1.2867383639052524E-3</v>
      </c>
      <c r="M63" t="s">
        <v>189</v>
      </c>
    </row>
    <row r="64" spans="1:13" ht="18" x14ac:dyDescent="0.2">
      <c r="A64" s="2" t="s">
        <v>65</v>
      </c>
      <c r="B64" s="6">
        <v>3596.47</v>
      </c>
      <c r="C64" s="6">
        <v>1386.55</v>
      </c>
      <c r="D64" s="6">
        <v>2556.9299999999998</v>
      </c>
      <c r="E64" s="6">
        <v>3244.59</v>
      </c>
      <c r="F64" s="6">
        <v>4467.93</v>
      </c>
      <c r="G64" s="6">
        <v>6104.92</v>
      </c>
      <c r="H64" s="10">
        <f t="shared" si="1"/>
        <v>5.0775904362895793E-2</v>
      </c>
      <c r="I64" s="10">
        <f t="shared" si="1"/>
        <v>1.9575675647057578E-2</v>
      </c>
      <c r="J64" s="10">
        <f t="shared" si="1"/>
        <v>3.6099406680055485E-2</v>
      </c>
      <c r="K64" s="10">
        <f t="shared" si="1"/>
        <v>4.5807970464596698E-2</v>
      </c>
      <c r="L64" s="10">
        <f t="shared" si="1"/>
        <v>6.3079404632907551E-2</v>
      </c>
      <c r="M64" t="s">
        <v>189</v>
      </c>
    </row>
    <row r="65" spans="1:13" ht="18" x14ac:dyDescent="0.2">
      <c r="A65" s="1"/>
      <c r="H65" s="10"/>
      <c r="I65" s="10"/>
      <c r="J65" s="10"/>
      <c r="K65" s="10"/>
      <c r="L65" s="10"/>
    </row>
    <row r="66" spans="1:13" ht="18" x14ac:dyDescent="0.2">
      <c r="A66" s="2" t="s">
        <v>66</v>
      </c>
      <c r="B66" s="4">
        <v>666.2</v>
      </c>
      <c r="C66" s="4">
        <v>296.45999999999998</v>
      </c>
      <c r="D66" s="4">
        <v>336.53</v>
      </c>
      <c r="E66" s="4">
        <v>481.67</v>
      </c>
      <c r="F66" s="4">
        <v>706.06</v>
      </c>
      <c r="G66" s="6">
        <v>1506.46</v>
      </c>
      <c r="H66" s="10">
        <f t="shared" ref="H66:L67" si="2">B66/$B$37</f>
        <v>9.4055858902093396E-3</v>
      </c>
      <c r="I66" s="10">
        <f t="shared" si="2"/>
        <v>4.1854998394047736E-3</v>
      </c>
      <c r="J66" s="10">
        <f t="shared" si="2"/>
        <v>4.7512185824559417E-3</v>
      </c>
      <c r="K66" s="10">
        <f t="shared" si="2"/>
        <v>6.8003430737573287E-3</v>
      </c>
      <c r="L66" s="10">
        <f t="shared" si="2"/>
        <v>9.9683397983206315E-3</v>
      </c>
      <c r="M66" t="s">
        <v>189</v>
      </c>
    </row>
    <row r="67" spans="1:13" ht="18" x14ac:dyDescent="0.2">
      <c r="A67" s="1"/>
      <c r="H67" s="10"/>
      <c r="I67" s="10"/>
      <c r="J67" s="10"/>
      <c r="K67" s="10"/>
      <c r="L67" s="10"/>
    </row>
    <row r="68" spans="1:13" ht="18" x14ac:dyDescent="0.2">
      <c r="A68" s="2" t="s">
        <v>67</v>
      </c>
      <c r="B68" s="6">
        <v>26794.32</v>
      </c>
      <c r="C68" s="6">
        <v>15739.7</v>
      </c>
      <c r="D68" s="6">
        <v>19368.29</v>
      </c>
      <c r="E68" s="6">
        <v>23413.15</v>
      </c>
      <c r="F68" s="6">
        <v>30395.24</v>
      </c>
      <c r="G68" s="6">
        <v>44436.06</v>
      </c>
      <c r="H68" s="10">
        <f t="shared" ref="H68:L131" si="3">B68/$B$37</f>
        <v>0.37828921964838469</v>
      </c>
      <c r="I68" s="10">
        <f t="shared" si="3"/>
        <v>0.22221720239586901</v>
      </c>
      <c r="J68" s="10">
        <f t="shared" si="3"/>
        <v>0.27344658532194932</v>
      </c>
      <c r="K68" s="10">
        <f t="shared" si="3"/>
        <v>0.33055297701194053</v>
      </c>
      <c r="L68" s="10">
        <f t="shared" si="3"/>
        <v>0.42912795027548262</v>
      </c>
      <c r="M68" t="s">
        <v>188</v>
      </c>
    </row>
    <row r="69" spans="1:13" ht="18" x14ac:dyDescent="0.2">
      <c r="A69" s="2" t="s">
        <v>68</v>
      </c>
      <c r="B69" s="6">
        <v>17656.84</v>
      </c>
      <c r="C69" s="6">
        <v>10602.53</v>
      </c>
      <c r="D69" s="6">
        <v>13099.07</v>
      </c>
      <c r="E69" s="6">
        <v>15761.65</v>
      </c>
      <c r="F69" s="6">
        <v>20115.650000000001</v>
      </c>
      <c r="G69" s="6">
        <v>28280.65</v>
      </c>
      <c r="H69" s="10">
        <f t="shared" si="3"/>
        <v>0.24928388647505834</v>
      </c>
      <c r="I69" s="10">
        <f t="shared" si="3"/>
        <v>0.14968929235743203</v>
      </c>
      <c r="J69" s="10">
        <f t="shared" si="3"/>
        <v>0.1849360972183495</v>
      </c>
      <c r="K69" s="10">
        <f t="shared" si="3"/>
        <v>0.22252709823839389</v>
      </c>
      <c r="L69" s="10">
        <f t="shared" si="3"/>
        <v>0.28399800932511182</v>
      </c>
      <c r="M69" t="s">
        <v>188</v>
      </c>
    </row>
    <row r="70" spans="1:13" ht="18" x14ac:dyDescent="0.2">
      <c r="A70" s="2" t="s">
        <v>69</v>
      </c>
      <c r="B70" s="6">
        <v>8664.4500000000007</v>
      </c>
      <c r="C70" s="6">
        <v>3654.4</v>
      </c>
      <c r="D70" s="6">
        <v>3981.85</v>
      </c>
      <c r="E70" s="6">
        <v>5227.58</v>
      </c>
      <c r="F70" s="6">
        <v>10708.87</v>
      </c>
      <c r="G70" s="6">
        <v>19468.21</v>
      </c>
      <c r="H70" s="10">
        <f t="shared" si="3"/>
        <v>0.12232697187995244</v>
      </c>
      <c r="I70" s="10">
        <f t="shared" si="3"/>
        <v>5.1593775258452428E-2</v>
      </c>
      <c r="J70" s="10">
        <f t="shared" si="3"/>
        <v>5.6216800025412871E-2</v>
      </c>
      <c r="K70" s="10">
        <f t="shared" si="3"/>
        <v>7.3804342071360746E-2</v>
      </c>
      <c r="L70" s="10">
        <f t="shared" si="3"/>
        <v>0.1511906282979377</v>
      </c>
      <c r="M70" t="s">
        <v>188</v>
      </c>
    </row>
    <row r="71" spans="1:13" ht="18" x14ac:dyDescent="0.2">
      <c r="A71" s="2" t="s">
        <v>70</v>
      </c>
      <c r="B71" s="6">
        <v>4014.7</v>
      </c>
      <c r="C71" s="6">
        <v>1346.14</v>
      </c>
      <c r="D71" s="6">
        <v>1519.76</v>
      </c>
      <c r="E71" s="6">
        <v>2364.04</v>
      </c>
      <c r="F71" s="6">
        <v>5136.05</v>
      </c>
      <c r="G71" s="6">
        <v>9550.65</v>
      </c>
      <c r="H71" s="10">
        <f t="shared" si="3"/>
        <v>5.668058491957885E-2</v>
      </c>
      <c r="I71" s="10">
        <f t="shared" si="3"/>
        <v>1.900515669505614E-2</v>
      </c>
      <c r="J71" s="10">
        <f t="shared" si="3"/>
        <v>2.1456369277250892E-2</v>
      </c>
      <c r="K71" s="10">
        <f t="shared" si="3"/>
        <v>3.3376135196473256E-2</v>
      </c>
      <c r="L71" s="10">
        <f t="shared" si="3"/>
        <v>7.2512097585424304E-2</v>
      </c>
      <c r="M71" t="s">
        <v>188</v>
      </c>
    </row>
    <row r="72" spans="1:13" ht="18" x14ac:dyDescent="0.2">
      <c r="A72" s="2" t="s">
        <v>71</v>
      </c>
      <c r="B72" s="6">
        <v>2743.47</v>
      </c>
      <c r="C72" s="6">
        <v>1177.97</v>
      </c>
      <c r="D72" s="6">
        <v>1393.09</v>
      </c>
      <c r="E72" s="6">
        <v>1804.35</v>
      </c>
      <c r="F72" s="6">
        <v>3184.86</v>
      </c>
      <c r="G72" s="6">
        <v>6074.32</v>
      </c>
      <c r="H72" s="10">
        <f t="shared" si="3"/>
        <v>3.8733027202360569E-2</v>
      </c>
      <c r="I72" s="10">
        <f t="shared" si="3"/>
        <v>1.663088863868192E-2</v>
      </c>
      <c r="J72" s="10">
        <f t="shared" si="3"/>
        <v>1.9668009078042219E-2</v>
      </c>
      <c r="K72" s="10">
        <f t="shared" si="3"/>
        <v>2.5474285351244699E-2</v>
      </c>
      <c r="L72" s="10">
        <f t="shared" si="3"/>
        <v>4.4964686698126859E-2</v>
      </c>
      <c r="M72" t="s">
        <v>189</v>
      </c>
    </row>
    <row r="73" spans="1:13" ht="18" x14ac:dyDescent="0.2">
      <c r="A73" s="2" t="s">
        <v>176</v>
      </c>
      <c r="B73" s="6">
        <v>1906.28</v>
      </c>
      <c r="C73" s="6">
        <v>1130.29</v>
      </c>
      <c r="D73" s="6">
        <v>1068.99</v>
      </c>
      <c r="E73" s="6">
        <v>1059.19</v>
      </c>
      <c r="F73" s="6">
        <v>2387.9699999999998</v>
      </c>
      <c r="G73" s="6">
        <v>3843.24</v>
      </c>
      <c r="H73" s="10">
        <f t="shared" si="3"/>
        <v>2.6913359758012994E-2</v>
      </c>
      <c r="I73" s="10">
        <f t="shared" si="3"/>
        <v>1.5957729924714368E-2</v>
      </c>
      <c r="J73" s="10">
        <f t="shared" si="3"/>
        <v>1.5092280487503574E-2</v>
      </c>
      <c r="K73" s="10">
        <f t="shared" si="3"/>
        <v>1.4953921523642794E-2</v>
      </c>
      <c r="L73" s="10">
        <f t="shared" si="3"/>
        <v>3.3713985197002687E-2</v>
      </c>
      <c r="M73" t="s">
        <v>189</v>
      </c>
    </row>
    <row r="74" spans="1:13" ht="18" x14ac:dyDescent="0.2">
      <c r="A74" s="2" t="s">
        <v>73</v>
      </c>
      <c r="B74" s="6">
        <v>8220.06</v>
      </c>
      <c r="C74" s="6">
        <v>6777.39</v>
      </c>
      <c r="D74" s="6">
        <v>8689.17</v>
      </c>
      <c r="E74" s="6">
        <v>10086.82</v>
      </c>
      <c r="F74" s="6">
        <v>8541.14</v>
      </c>
      <c r="G74" s="6">
        <v>6888.28</v>
      </c>
      <c r="H74" s="10">
        <f t="shared" si="3"/>
        <v>0.11605295759933079</v>
      </c>
      <c r="I74" s="10">
        <f t="shared" si="3"/>
        <v>9.5684965110245976E-2</v>
      </c>
      <c r="J74" s="10">
        <f t="shared" si="3"/>
        <v>0.12267597530716043</v>
      </c>
      <c r="K74" s="10">
        <f t="shared" si="3"/>
        <v>0.14240836365818277</v>
      </c>
      <c r="L74" s="10">
        <f t="shared" si="3"/>
        <v>0.12058604903978172</v>
      </c>
      <c r="M74" t="s">
        <v>188</v>
      </c>
    </row>
    <row r="75" spans="1:13" ht="18" x14ac:dyDescent="0.2">
      <c r="A75" s="2" t="s">
        <v>74</v>
      </c>
      <c r="B75" s="4">
        <v>772.33</v>
      </c>
      <c r="C75" s="4">
        <v>170.73</v>
      </c>
      <c r="D75" s="4">
        <v>428.05</v>
      </c>
      <c r="E75" s="4">
        <v>447.24</v>
      </c>
      <c r="F75" s="4">
        <v>865.64</v>
      </c>
      <c r="G75" s="6">
        <v>1924.16</v>
      </c>
      <c r="H75" s="10">
        <f t="shared" si="3"/>
        <v>1.0903956995775111E-2</v>
      </c>
      <c r="I75" s="10">
        <f t="shared" si="3"/>
        <v>2.4104108061174427E-3</v>
      </c>
      <c r="J75" s="10">
        <f t="shared" si="3"/>
        <v>6.0433218857762049E-3</v>
      </c>
      <c r="K75" s="10">
        <f t="shared" si="3"/>
        <v>6.314251326234201E-3</v>
      </c>
      <c r="L75" s="10">
        <f t="shared" si="3"/>
        <v>1.2221331987392392E-2</v>
      </c>
      <c r="M75" t="s">
        <v>189</v>
      </c>
    </row>
    <row r="76" spans="1:13" ht="18" x14ac:dyDescent="0.2">
      <c r="A76" s="2" t="s">
        <v>75</v>
      </c>
      <c r="B76" s="6">
        <v>4112.2700000000004</v>
      </c>
      <c r="C76" s="6">
        <v>2646.87</v>
      </c>
      <c r="D76" s="6">
        <v>3371.38</v>
      </c>
      <c r="E76" s="6">
        <v>3877.56</v>
      </c>
      <c r="F76" s="6">
        <v>4765.3900000000003</v>
      </c>
      <c r="G76" s="6">
        <v>5807.45</v>
      </c>
      <c r="H76" s="10">
        <f t="shared" si="3"/>
        <v>5.8058103705690728E-2</v>
      </c>
      <c r="I76" s="10">
        <f t="shared" si="3"/>
        <v>3.7369203130018597E-2</v>
      </c>
      <c r="J76" s="10">
        <f t="shared" si="3"/>
        <v>4.759802485519958E-2</v>
      </c>
      <c r="K76" s="10">
        <f t="shared" si="3"/>
        <v>5.4744406521225038E-2</v>
      </c>
      <c r="L76" s="10">
        <f t="shared" si="3"/>
        <v>6.7279022733930771E-2</v>
      </c>
      <c r="M76" t="s">
        <v>188</v>
      </c>
    </row>
    <row r="77" spans="1:13" ht="18" x14ac:dyDescent="0.2">
      <c r="A77" s="2" t="s">
        <v>76</v>
      </c>
      <c r="B77" s="4">
        <v>414.57</v>
      </c>
      <c r="C77" s="4">
        <v>298</v>
      </c>
      <c r="D77" s="4">
        <v>354.28</v>
      </c>
      <c r="E77" s="4">
        <v>399.22</v>
      </c>
      <c r="F77" s="4">
        <v>439.08</v>
      </c>
      <c r="G77" s="4">
        <v>575.66999999999996</v>
      </c>
      <c r="H77" s="10">
        <f t="shared" si="3"/>
        <v>5.8530077191595396E-3</v>
      </c>
      <c r="I77" s="10">
        <f t="shared" si="3"/>
        <v>4.2072419622971825E-3</v>
      </c>
      <c r="J77" s="10">
        <f t="shared" si="3"/>
        <v>5.0018177261833743E-3</v>
      </c>
      <c r="K77" s="10">
        <f t="shared" si="3"/>
        <v>5.6362924033163796E-3</v>
      </c>
      <c r="L77" s="10">
        <f t="shared" si="3"/>
        <v>6.1990463114276733E-3</v>
      </c>
      <c r="M77" t="s">
        <v>189</v>
      </c>
    </row>
    <row r="78" spans="1:13" ht="18" x14ac:dyDescent="0.2">
      <c r="A78" s="2" t="s">
        <v>77</v>
      </c>
      <c r="B78" s="6">
        <v>1301.79</v>
      </c>
      <c r="C78" s="4">
        <v>947.53</v>
      </c>
      <c r="D78" s="6">
        <v>1103.1099999999999</v>
      </c>
      <c r="E78" s="6">
        <v>1226.42</v>
      </c>
      <c r="F78" s="6">
        <v>1478.66</v>
      </c>
      <c r="G78" s="6">
        <v>1730.29</v>
      </c>
      <c r="H78" s="10">
        <f t="shared" si="3"/>
        <v>1.8379011792278015E-2</v>
      </c>
      <c r="I78" s="10">
        <f t="shared" si="3"/>
        <v>1.337747643132701E-2</v>
      </c>
      <c r="J78" s="10">
        <f t="shared" si="3"/>
        <v>1.5573995573924981E-2</v>
      </c>
      <c r="K78" s="10">
        <f t="shared" si="3"/>
        <v>1.7314918414095673E-2</v>
      </c>
      <c r="L78" s="10">
        <f t="shared" si="3"/>
        <v>2.0876108724732726E-2</v>
      </c>
      <c r="M78" t="s">
        <v>188</v>
      </c>
    </row>
    <row r="79" spans="1:13" ht="18" x14ac:dyDescent="0.2">
      <c r="A79" s="2" t="s">
        <v>78</v>
      </c>
      <c r="B79" s="4">
        <v>48.31</v>
      </c>
      <c r="C79" s="4">
        <v>29.07</v>
      </c>
      <c r="D79" s="4">
        <v>32.409999999999997</v>
      </c>
      <c r="E79" s="4">
        <v>38.1</v>
      </c>
      <c r="F79" s="4">
        <v>50.71</v>
      </c>
      <c r="G79" s="4">
        <v>90.32</v>
      </c>
      <c r="H79" s="10">
        <f t="shared" si="3"/>
        <v>6.8205321878717074E-4</v>
      </c>
      <c r="I79" s="10">
        <f t="shared" si="3"/>
        <v>4.10417865248252E-4</v>
      </c>
      <c r="J79" s="10">
        <f t="shared" si="3"/>
        <v>4.5757285905386467E-4</v>
      </c>
      <c r="K79" s="10">
        <f t="shared" si="3"/>
        <v>5.3790576766282771E-4</v>
      </c>
      <c r="L79" s="10">
        <f t="shared" si="3"/>
        <v>7.1593704667144333E-4</v>
      </c>
      <c r="M79" t="s">
        <v>189</v>
      </c>
    </row>
    <row r="80" spans="1:13" ht="18" x14ac:dyDescent="0.2">
      <c r="A80" s="2" t="s">
        <v>79</v>
      </c>
      <c r="B80" s="6">
        <v>1500.92</v>
      </c>
      <c r="C80" s="4">
        <v>847.64</v>
      </c>
      <c r="D80" s="6">
        <v>1240.4000000000001</v>
      </c>
      <c r="E80" s="6">
        <v>1500.11</v>
      </c>
      <c r="F80" s="6">
        <v>1756.42</v>
      </c>
      <c r="G80" s="6">
        <v>2118.35</v>
      </c>
      <c r="H80" s="10">
        <f t="shared" si="3"/>
        <v>2.1190381228359353E-2</v>
      </c>
      <c r="I80" s="10">
        <f t="shared" si="3"/>
        <v>1.1967203278260348E-2</v>
      </c>
      <c r="J80" s="10">
        <f t="shared" si="3"/>
        <v>1.7512291711521563E-2</v>
      </c>
      <c r="K80" s="10">
        <f t="shared" si="3"/>
        <v>2.117894543644841E-2</v>
      </c>
      <c r="L80" s="10">
        <f t="shared" si="3"/>
        <v>2.479759707187254E-2</v>
      </c>
      <c r="M80" t="s">
        <v>189</v>
      </c>
    </row>
    <row r="81" spans="1:13" ht="18" x14ac:dyDescent="0.2">
      <c r="A81" s="2" t="s">
        <v>80</v>
      </c>
      <c r="B81" s="4">
        <v>167.94</v>
      </c>
      <c r="C81" s="4">
        <v>196.85</v>
      </c>
      <c r="D81" s="4">
        <v>162.38</v>
      </c>
      <c r="E81" s="4">
        <v>145.59</v>
      </c>
      <c r="F81" s="4">
        <v>168.04</v>
      </c>
      <c r="G81" s="4">
        <v>168.58</v>
      </c>
      <c r="H81" s="10">
        <f t="shared" si="3"/>
        <v>2.3710208562019758E-3</v>
      </c>
      <c r="I81" s="10">
        <f t="shared" si="3"/>
        <v>2.7791797995912761E-3</v>
      </c>
      <c r="J81" s="10">
        <f t="shared" si="3"/>
        <v>2.2925233216034109E-3</v>
      </c>
      <c r="K81" s="10">
        <f t="shared" si="3"/>
        <v>2.0554777090296874E-3</v>
      </c>
      <c r="L81" s="10">
        <f t="shared" si="3"/>
        <v>2.3724326823638202E-3</v>
      </c>
      <c r="M81" t="s">
        <v>189</v>
      </c>
    </row>
    <row r="82" spans="1:13" ht="18" x14ac:dyDescent="0.2">
      <c r="A82" s="2" t="s">
        <v>81</v>
      </c>
      <c r="B82" s="6">
        <v>1332.98</v>
      </c>
      <c r="C82" s="4">
        <v>650.79</v>
      </c>
      <c r="D82" s="6">
        <v>1078.01</v>
      </c>
      <c r="E82" s="6">
        <v>1354.52</v>
      </c>
      <c r="F82" s="6">
        <v>1588.38</v>
      </c>
      <c r="G82" s="6">
        <v>1949.77</v>
      </c>
      <c r="H82" s="10">
        <f t="shared" si="3"/>
        <v>1.8819360372157378E-2</v>
      </c>
      <c r="I82" s="10">
        <f t="shared" si="3"/>
        <v>9.1880234786690714E-3</v>
      </c>
      <c r="J82" s="10">
        <f t="shared" si="3"/>
        <v>1.5219627207301965E-2</v>
      </c>
      <c r="K82" s="10">
        <f t="shared" si="3"/>
        <v>1.9123467727418724E-2</v>
      </c>
      <c r="L82" s="10">
        <f t="shared" si="3"/>
        <v>2.2425164389508721E-2</v>
      </c>
      <c r="M82" t="s">
        <v>189</v>
      </c>
    </row>
    <row r="83" spans="1:13" ht="18" x14ac:dyDescent="0.2">
      <c r="A83" s="2" t="s">
        <v>82</v>
      </c>
      <c r="B83" s="4">
        <v>846.67</v>
      </c>
      <c r="C83" s="4">
        <v>524.62</v>
      </c>
      <c r="D83" s="4">
        <v>641.17999999999995</v>
      </c>
      <c r="E83" s="4">
        <v>713.71</v>
      </c>
      <c r="F83" s="6">
        <v>1040.53</v>
      </c>
      <c r="G83" s="6">
        <v>1292.81</v>
      </c>
      <c r="H83" s="10">
        <f t="shared" si="3"/>
        <v>1.1953508564490454E-2</v>
      </c>
      <c r="I83" s="10">
        <f t="shared" si="3"/>
        <v>7.406722410269624E-3</v>
      </c>
      <c r="J83" s="10">
        <f t="shared" si="3"/>
        <v>9.0523469845157963E-3</v>
      </c>
      <c r="K83" s="10">
        <f t="shared" si="3"/>
        <v>1.0076344499701751E-2</v>
      </c>
      <c r="L83" s="10">
        <f t="shared" si="3"/>
        <v>1.4690474761842574E-2</v>
      </c>
      <c r="M83" t="s">
        <v>188</v>
      </c>
    </row>
    <row r="84" spans="1:13" ht="18" x14ac:dyDescent="0.2">
      <c r="A84" s="2" t="s">
        <v>83</v>
      </c>
      <c r="B84" s="6">
        <v>1832.1</v>
      </c>
      <c r="C84" s="4">
        <v>983.54</v>
      </c>
      <c r="D84" s="6">
        <v>1054.1400000000001</v>
      </c>
      <c r="E84" s="6">
        <v>1228.1099999999999</v>
      </c>
      <c r="F84" s="6">
        <v>1904.93</v>
      </c>
      <c r="G84" s="6">
        <v>3951.76</v>
      </c>
      <c r="H84" s="10">
        <f t="shared" si="3"/>
        <v>2.5866067111156601E-2</v>
      </c>
      <c r="I84" s="10">
        <f t="shared" si="3"/>
        <v>1.3885875032207284E-2</v>
      </c>
      <c r="J84" s="10">
        <f t="shared" si="3"/>
        <v>1.4882624302469638E-2</v>
      </c>
      <c r="K84" s="10">
        <f t="shared" si="3"/>
        <v>1.7338778276230846E-2</v>
      </c>
      <c r="L84" s="10">
        <f t="shared" si="3"/>
        <v>2.6894300104828094E-2</v>
      </c>
      <c r="M84" t="s">
        <v>188</v>
      </c>
    </row>
    <row r="85" spans="1:13" ht="18" x14ac:dyDescent="0.2">
      <c r="A85" s="2" t="s">
        <v>177</v>
      </c>
      <c r="B85" s="4">
        <v>456.58</v>
      </c>
      <c r="C85" s="4">
        <v>72.81</v>
      </c>
      <c r="D85" s="4">
        <v>65.48</v>
      </c>
      <c r="E85" s="4">
        <v>196.94</v>
      </c>
      <c r="F85" s="4">
        <v>521.13</v>
      </c>
      <c r="G85" s="6">
        <v>1407.1</v>
      </c>
      <c r="H85" s="10">
        <f t="shared" si="3"/>
        <v>6.4461158897504952E-3</v>
      </c>
      <c r="I85" s="10">
        <f t="shared" si="3"/>
        <v>1.0279506284391203E-3</v>
      </c>
      <c r="J85" s="10">
        <f t="shared" si="3"/>
        <v>9.2446377077590441E-4</v>
      </c>
      <c r="K85" s="10">
        <f t="shared" si="3"/>
        <v>2.7804504431369367E-3</v>
      </c>
      <c r="L85" s="10">
        <f t="shared" si="3"/>
        <v>7.3574496772212438E-3</v>
      </c>
      <c r="M85" t="s">
        <v>189</v>
      </c>
    </row>
    <row r="86" spans="1:13" ht="18" x14ac:dyDescent="0.2">
      <c r="A86" s="2" t="s">
        <v>85</v>
      </c>
      <c r="B86" s="6">
        <v>1375.51</v>
      </c>
      <c r="C86" s="4">
        <v>910.74</v>
      </c>
      <c r="D86" s="4">
        <v>988.66</v>
      </c>
      <c r="E86" s="6">
        <v>1031.17</v>
      </c>
      <c r="F86" s="6">
        <v>1383.8</v>
      </c>
      <c r="G86" s="6">
        <v>2544.66</v>
      </c>
      <c r="H86" s="10">
        <f t="shared" si="3"/>
        <v>1.9419810038789925E-2</v>
      </c>
      <c r="I86" s="10">
        <f t="shared" si="3"/>
        <v>1.2858065586384349E-2</v>
      </c>
      <c r="J86" s="10">
        <f t="shared" si="3"/>
        <v>1.3958160531693731E-2</v>
      </c>
      <c r="K86" s="10">
        <f t="shared" si="3"/>
        <v>1.4558327833093913E-2</v>
      </c>
      <c r="L86" s="10">
        <f t="shared" si="3"/>
        <v>1.9536850427606847E-2</v>
      </c>
      <c r="M86" t="s">
        <v>189</v>
      </c>
    </row>
    <row r="87" spans="1:13" ht="18" x14ac:dyDescent="0.2">
      <c r="A87" s="2" t="s">
        <v>86</v>
      </c>
      <c r="B87" s="4">
        <v>823.07</v>
      </c>
      <c r="C87" s="4">
        <v>541.97</v>
      </c>
      <c r="D87" s="4">
        <v>529.04999999999995</v>
      </c>
      <c r="E87" s="4">
        <v>773.85</v>
      </c>
      <c r="F87" s="4">
        <v>837.55</v>
      </c>
      <c r="G87" s="6">
        <v>1425.32</v>
      </c>
      <c r="H87" s="10">
        <f t="shared" si="3"/>
        <v>1.1620317590295108E-2</v>
      </c>
      <c r="I87" s="10">
        <f t="shared" si="3"/>
        <v>7.6516742493496779E-3</v>
      </c>
      <c r="J87" s="10">
        <f t="shared" si="3"/>
        <v>7.4692663092393429E-3</v>
      </c>
      <c r="K87" s="10">
        <f t="shared" si="3"/>
        <v>1.092541675343515E-2</v>
      </c>
      <c r="L87" s="10">
        <f t="shared" si="3"/>
        <v>1.1824750018530217E-2</v>
      </c>
      <c r="M87" t="s">
        <v>189</v>
      </c>
    </row>
    <row r="88" spans="1:13" ht="18" x14ac:dyDescent="0.2">
      <c r="A88" s="2" t="s">
        <v>87</v>
      </c>
      <c r="B88" s="4">
        <v>202.81</v>
      </c>
      <c r="C88" s="4">
        <v>159.62</v>
      </c>
      <c r="D88" s="4">
        <v>146.41999999999999</v>
      </c>
      <c r="E88" s="4">
        <v>160.85</v>
      </c>
      <c r="F88" s="4">
        <v>212.1</v>
      </c>
      <c r="G88" s="4">
        <v>337.94</v>
      </c>
      <c r="H88" s="10">
        <f t="shared" si="3"/>
        <v>2.8633246388372201E-3</v>
      </c>
      <c r="I88" s="10">
        <f t="shared" si="3"/>
        <v>2.2535569195364976E-3</v>
      </c>
      <c r="J88" s="10">
        <f t="shared" si="3"/>
        <v>2.0671958661729979E-3</v>
      </c>
      <c r="K88" s="10">
        <f t="shared" si="3"/>
        <v>2.2709223813271871E-3</v>
      </c>
      <c r="L88" s="10">
        <f t="shared" si="3"/>
        <v>2.9944832892725916E-3</v>
      </c>
      <c r="M88" t="s">
        <v>189</v>
      </c>
    </row>
    <row r="89" spans="1:13" ht="18" x14ac:dyDescent="0.2">
      <c r="A89" s="2" t="s">
        <v>89</v>
      </c>
      <c r="B89" s="4">
        <v>473.03</v>
      </c>
      <c r="C89" s="4">
        <v>258.33</v>
      </c>
      <c r="D89" s="4">
        <v>298.68</v>
      </c>
      <c r="E89" s="4">
        <v>479.83</v>
      </c>
      <c r="F89" s="4">
        <v>477.86</v>
      </c>
      <c r="G89" s="4">
        <v>836.21</v>
      </c>
      <c r="H89" s="10">
        <f t="shared" si="3"/>
        <v>6.6783612933739465E-3</v>
      </c>
      <c r="I89" s="10">
        <f t="shared" si="3"/>
        <v>3.6471705238933926E-3</v>
      </c>
      <c r="J89" s="10">
        <f t="shared" si="3"/>
        <v>4.2168423801977268E-3</v>
      </c>
      <c r="K89" s="10">
        <f t="shared" si="3"/>
        <v>6.7743654723793857E-3</v>
      </c>
      <c r="L89" s="10">
        <f t="shared" si="3"/>
        <v>6.7465524969910458E-3</v>
      </c>
      <c r="M89" t="s">
        <v>189</v>
      </c>
    </row>
    <row r="90" spans="1:13" ht="18" x14ac:dyDescent="0.2">
      <c r="A90" s="2" t="s">
        <v>90</v>
      </c>
      <c r="B90" s="4">
        <v>147.22999999999999</v>
      </c>
      <c r="C90" s="4">
        <v>124.02</v>
      </c>
      <c r="D90" s="4">
        <v>83.95</v>
      </c>
      <c r="E90" s="4">
        <v>133.16999999999999</v>
      </c>
      <c r="F90" s="4">
        <v>147.59</v>
      </c>
      <c r="G90" s="4">
        <v>251.17</v>
      </c>
      <c r="H90" s="10">
        <f t="shared" si="3"/>
        <v>2.0786316580839398E-3</v>
      </c>
      <c r="I90" s="10">
        <f t="shared" si="3"/>
        <v>1.750946805919787E-3</v>
      </c>
      <c r="J90" s="10">
        <f t="shared" si="3"/>
        <v>1.1852280628686189E-3</v>
      </c>
      <c r="K90" s="10">
        <f t="shared" si="3"/>
        <v>1.8801288997285762E-3</v>
      </c>
      <c r="L90" s="10">
        <f t="shared" si="3"/>
        <v>2.0837142322665809E-3</v>
      </c>
      <c r="M90" t="s">
        <v>188</v>
      </c>
    </row>
    <row r="91" spans="1:13" ht="18" x14ac:dyDescent="0.2">
      <c r="A91" s="2" t="s">
        <v>91</v>
      </c>
      <c r="B91" s="6">
        <v>2370.04</v>
      </c>
      <c r="C91" s="4">
        <v>964.79</v>
      </c>
      <c r="D91" s="6">
        <v>1314.66</v>
      </c>
      <c r="E91" s="6">
        <v>1771.99</v>
      </c>
      <c r="F91" s="6">
        <v>2771.72</v>
      </c>
      <c r="G91" s="6">
        <v>4970.87</v>
      </c>
      <c r="H91" s="10">
        <f t="shared" si="3"/>
        <v>3.3460844766183939E-2</v>
      </c>
      <c r="I91" s="10">
        <f t="shared" si="3"/>
        <v>1.3621157626861405E-2</v>
      </c>
      <c r="J91" s="10">
        <f t="shared" si="3"/>
        <v>1.856071381930743E-2</v>
      </c>
      <c r="K91" s="10">
        <f t="shared" si="3"/>
        <v>2.501741840527176E-2</v>
      </c>
      <c r="L91" s="10">
        <f t="shared" si="3"/>
        <v>3.9131868093081695E-2</v>
      </c>
      <c r="M91" t="s">
        <v>189</v>
      </c>
    </row>
    <row r="92" spans="1:13" ht="18" x14ac:dyDescent="0.2">
      <c r="A92" s="2" t="s">
        <v>92</v>
      </c>
      <c r="B92" s="4">
        <v>149.28</v>
      </c>
      <c r="C92" s="4">
        <v>89.22</v>
      </c>
      <c r="D92" s="4">
        <v>78.790000000000006</v>
      </c>
      <c r="E92" s="4">
        <v>104.17</v>
      </c>
      <c r="F92" s="4">
        <v>197.8</v>
      </c>
      <c r="G92" s="4">
        <v>276.24</v>
      </c>
      <c r="H92" s="10">
        <f t="shared" si="3"/>
        <v>2.1075740944017565E-3</v>
      </c>
      <c r="I92" s="10">
        <f t="shared" si="3"/>
        <v>1.2596313015978342E-3</v>
      </c>
      <c r="J92" s="10">
        <f t="shared" si="3"/>
        <v>1.1123778329174331E-3</v>
      </c>
      <c r="K92" s="10">
        <f t="shared" si="3"/>
        <v>1.4706993127936157E-3</v>
      </c>
      <c r="L92" s="10">
        <f t="shared" si="3"/>
        <v>2.7925921481288009E-3</v>
      </c>
      <c r="M92" t="s">
        <v>189</v>
      </c>
    </row>
    <row r="93" spans="1:13" ht="18" x14ac:dyDescent="0.2">
      <c r="A93" s="2" t="s">
        <v>93</v>
      </c>
      <c r="B93" s="4">
        <v>528.41</v>
      </c>
      <c r="C93" s="4">
        <v>163.06</v>
      </c>
      <c r="D93" s="4">
        <v>316.2</v>
      </c>
      <c r="E93" s="4">
        <v>480.7</v>
      </c>
      <c r="F93" s="4">
        <v>535.16</v>
      </c>
      <c r="G93" s="6">
        <v>1127.94</v>
      </c>
      <c r="H93" s="10">
        <f t="shared" si="3"/>
        <v>7.4602306218035366E-3</v>
      </c>
      <c r="I93" s="10">
        <f t="shared" si="3"/>
        <v>2.3021237395039547E-3</v>
      </c>
      <c r="J93" s="10">
        <f t="shared" si="3"/>
        <v>4.4641943237529163E-3</v>
      </c>
      <c r="K93" s="10">
        <f t="shared" si="3"/>
        <v>6.786648359987435E-3</v>
      </c>
      <c r="L93" s="10">
        <f t="shared" si="3"/>
        <v>7.555528887728054E-3</v>
      </c>
      <c r="M93" t="s">
        <v>189</v>
      </c>
    </row>
    <row r="94" spans="1:13" ht="18" x14ac:dyDescent="0.2">
      <c r="A94" s="2" t="s">
        <v>94</v>
      </c>
      <c r="B94" s="4">
        <v>26.66</v>
      </c>
      <c r="C94" s="4">
        <v>13.36</v>
      </c>
      <c r="D94" s="4">
        <v>14.99</v>
      </c>
      <c r="E94" s="4">
        <v>16.22</v>
      </c>
      <c r="F94" s="4">
        <v>23.11</v>
      </c>
      <c r="G94" s="4">
        <v>65.260000000000005</v>
      </c>
      <c r="H94" s="10">
        <f t="shared" si="3"/>
        <v>3.7639285474779492E-4</v>
      </c>
      <c r="I94" s="10">
        <f t="shared" si="3"/>
        <v>1.8861997522245084E-4</v>
      </c>
      <c r="J94" s="10">
        <f t="shared" si="3"/>
        <v>2.1163274166051933E-4</v>
      </c>
      <c r="K94" s="10">
        <f t="shared" si="3"/>
        <v>2.2899820345120904E-4</v>
      </c>
      <c r="L94" s="10">
        <f t="shared" si="3"/>
        <v>3.2627302600230835E-4</v>
      </c>
      <c r="M94" t="s">
        <v>189</v>
      </c>
    </row>
    <row r="95" spans="1:13" ht="18" x14ac:dyDescent="0.2">
      <c r="A95" s="2" t="s">
        <v>95</v>
      </c>
      <c r="B95" s="4">
        <v>335.76</v>
      </c>
      <c r="C95" s="4">
        <v>160.36000000000001</v>
      </c>
      <c r="D95" s="4">
        <v>201.38</v>
      </c>
      <c r="E95" s="4">
        <v>240.41</v>
      </c>
      <c r="F95" s="4">
        <v>398.31</v>
      </c>
      <c r="G95" s="4">
        <v>668.13</v>
      </c>
      <c r="H95" s="10">
        <f t="shared" si="3"/>
        <v>4.7403475210097377E-3</v>
      </c>
      <c r="I95" s="10">
        <f t="shared" si="3"/>
        <v>2.2640044331341484E-3</v>
      </c>
      <c r="J95" s="10">
        <f t="shared" si="3"/>
        <v>2.8431355247228408E-3</v>
      </c>
      <c r="K95" s="10">
        <f t="shared" si="3"/>
        <v>3.394171275690824E-3</v>
      </c>
      <c r="L95" s="10">
        <f t="shared" si="3"/>
        <v>5.6234447852435933E-3</v>
      </c>
      <c r="M95" t="s">
        <v>189</v>
      </c>
    </row>
    <row r="96" spans="1:13" ht="18" x14ac:dyDescent="0.2">
      <c r="A96" s="2" t="s">
        <v>178</v>
      </c>
      <c r="B96" s="4">
        <v>138.51</v>
      </c>
      <c r="C96" s="4">
        <v>85.71</v>
      </c>
      <c r="D96" s="4">
        <v>115.95</v>
      </c>
      <c r="E96" s="4">
        <v>128.57</v>
      </c>
      <c r="F96" s="4">
        <v>146.99</v>
      </c>
      <c r="G96" s="4">
        <v>211.41</v>
      </c>
      <c r="H96" s="10">
        <f t="shared" si="3"/>
        <v>1.955520416771083E-3</v>
      </c>
      <c r="I96" s="10">
        <f t="shared" si="3"/>
        <v>1.2100762033170854E-3</v>
      </c>
      <c r="J96" s="10">
        <f t="shared" si="3"/>
        <v>1.6370124346589206E-3</v>
      </c>
      <c r="K96" s="10">
        <f t="shared" si="3"/>
        <v>1.8151848962837205E-3</v>
      </c>
      <c r="L96" s="10">
        <f t="shared" si="3"/>
        <v>2.075243275295513E-3</v>
      </c>
      <c r="M96" t="s">
        <v>189</v>
      </c>
    </row>
    <row r="97" spans="1:13" ht="18" x14ac:dyDescent="0.2">
      <c r="A97" s="2" t="s">
        <v>97</v>
      </c>
      <c r="B97" s="6">
        <v>1191.4100000000001</v>
      </c>
      <c r="C97" s="4">
        <v>453.08</v>
      </c>
      <c r="D97" s="4">
        <v>587.35</v>
      </c>
      <c r="E97" s="4">
        <v>801.92</v>
      </c>
      <c r="F97" s="6">
        <v>1470.35</v>
      </c>
      <c r="G97" s="6">
        <v>2621.9</v>
      </c>
      <c r="H97" s="10">
        <f t="shared" si="3"/>
        <v>1.6820638074833846E-2</v>
      </c>
      <c r="I97" s="10">
        <f t="shared" si="3"/>
        <v>6.3967019740859303E-3</v>
      </c>
      <c r="J97" s="10">
        <f t="shared" si="3"/>
        <v>8.2923609615947989E-3</v>
      </c>
      <c r="K97" s="10">
        <f t="shared" si="3"/>
        <v>1.1321716357064955E-2</v>
      </c>
      <c r="L97" s="10">
        <f t="shared" si="3"/>
        <v>2.0758785970683428E-2</v>
      </c>
      <c r="M97" t="s">
        <v>189</v>
      </c>
    </row>
    <row r="98" spans="1:13" ht="18" x14ac:dyDescent="0.2">
      <c r="A98" s="1"/>
      <c r="H98" s="10"/>
      <c r="I98" s="10"/>
      <c r="J98" s="10"/>
      <c r="K98" s="10"/>
      <c r="L98" s="10"/>
    </row>
    <row r="99" spans="1:13" ht="18" x14ac:dyDescent="0.2">
      <c r="A99" s="2" t="s">
        <v>98</v>
      </c>
      <c r="B99" s="6">
        <v>1738.69</v>
      </c>
      <c r="C99" s="4">
        <v>907.55</v>
      </c>
      <c r="D99" s="6">
        <v>1348.41</v>
      </c>
      <c r="E99" s="6">
        <v>1711.22</v>
      </c>
      <c r="F99" s="6">
        <v>1757.22</v>
      </c>
      <c r="G99" s="6">
        <v>2897.63</v>
      </c>
      <c r="H99" s="10">
        <f t="shared" si="3"/>
        <v>2.4547280293377476E-2</v>
      </c>
      <c r="I99" s="10">
        <f t="shared" si="3"/>
        <v>1.2813028331821501E-2</v>
      </c>
      <c r="J99" s="10">
        <f t="shared" si="3"/>
        <v>1.9037205148930012E-2</v>
      </c>
      <c r="K99" s="10">
        <f t="shared" si="3"/>
        <v>2.415945164671874E-2</v>
      </c>
      <c r="L99" s="10">
        <f t="shared" si="3"/>
        <v>2.4808891681167299E-2</v>
      </c>
      <c r="M99" t="s">
        <v>189</v>
      </c>
    </row>
    <row r="100" spans="1:13" ht="18" x14ac:dyDescent="0.2">
      <c r="A100" s="2" t="s">
        <v>99</v>
      </c>
      <c r="B100" s="4">
        <v>444.51</v>
      </c>
      <c r="C100" s="4">
        <v>197.7</v>
      </c>
      <c r="D100" s="4">
        <v>311.64999999999998</v>
      </c>
      <c r="E100" s="4">
        <v>363.4</v>
      </c>
      <c r="F100" s="4">
        <v>476.13</v>
      </c>
      <c r="G100" s="4">
        <v>862.34</v>
      </c>
      <c r="H100" s="10"/>
      <c r="I100" s="10"/>
      <c r="J100" s="10"/>
      <c r="K100" s="10"/>
      <c r="L100" s="10"/>
    </row>
    <row r="101" spans="1:13" ht="18" x14ac:dyDescent="0.2">
      <c r="A101" s="2" t="s">
        <v>100</v>
      </c>
      <c r="B101" s="4">
        <v>342.57</v>
      </c>
      <c r="C101" s="4">
        <v>135.46</v>
      </c>
      <c r="D101" s="4">
        <v>206.19</v>
      </c>
      <c r="E101" s="4">
        <v>256.13</v>
      </c>
      <c r="F101" s="4">
        <v>390.04</v>
      </c>
      <c r="G101" s="4">
        <v>714.83</v>
      </c>
      <c r="H101" s="10"/>
      <c r="I101" s="10"/>
      <c r="J101" s="10"/>
      <c r="K101" s="10"/>
      <c r="L101" s="10"/>
    </row>
    <row r="102" spans="1:13" ht="18" x14ac:dyDescent="0.2">
      <c r="A102" s="2" t="s">
        <v>101</v>
      </c>
      <c r="B102" s="4">
        <v>101.94</v>
      </c>
      <c r="C102" s="4">
        <v>62.24</v>
      </c>
      <c r="D102" s="4">
        <v>105.45</v>
      </c>
      <c r="E102" s="4">
        <v>107.27</v>
      </c>
      <c r="F102" s="4">
        <v>86.09</v>
      </c>
      <c r="G102" s="4">
        <v>147.51</v>
      </c>
      <c r="H102" s="10"/>
      <c r="I102" s="10"/>
      <c r="J102" s="10"/>
      <c r="K102" s="10"/>
      <c r="L102" s="10"/>
    </row>
    <row r="103" spans="1:13" ht="18" x14ac:dyDescent="0.2">
      <c r="A103" s="2" t="s">
        <v>102</v>
      </c>
      <c r="B103" s="4">
        <v>620.74</v>
      </c>
      <c r="C103" s="4">
        <v>278.11</v>
      </c>
      <c r="D103" s="4">
        <v>453.75</v>
      </c>
      <c r="E103" s="4">
        <v>678.82</v>
      </c>
      <c r="F103" s="4">
        <v>603.66999999999996</v>
      </c>
      <c r="G103" s="6">
        <v>1054.6300000000001</v>
      </c>
      <c r="H103" s="10"/>
      <c r="I103" s="10"/>
      <c r="J103" s="10"/>
      <c r="K103" s="10"/>
      <c r="L103" s="10"/>
    </row>
    <row r="104" spans="1:13" ht="18" x14ac:dyDescent="0.2">
      <c r="A104" s="2" t="s">
        <v>103</v>
      </c>
      <c r="B104" s="4">
        <v>521.80999999999995</v>
      </c>
      <c r="C104" s="4">
        <v>243.22</v>
      </c>
      <c r="D104" s="4">
        <v>395.55</v>
      </c>
      <c r="E104" s="4">
        <v>540.38</v>
      </c>
      <c r="F104" s="4">
        <v>541.49</v>
      </c>
      <c r="G104" s="4">
        <v>859.78</v>
      </c>
      <c r="H104" s="10"/>
      <c r="I104" s="10"/>
      <c r="J104" s="10"/>
      <c r="K104" s="10"/>
      <c r="L104" s="10"/>
    </row>
    <row r="105" spans="1:13" ht="18" x14ac:dyDescent="0.2">
      <c r="A105" s="2" t="s">
        <v>104</v>
      </c>
      <c r="B105" s="4">
        <v>98.93</v>
      </c>
      <c r="C105" s="4">
        <v>34.89</v>
      </c>
      <c r="D105" s="4">
        <v>58.2</v>
      </c>
      <c r="E105" s="4">
        <v>138.44</v>
      </c>
      <c r="F105" s="4">
        <v>62.18</v>
      </c>
      <c r="G105" s="4">
        <v>194.85</v>
      </c>
      <c r="H105" s="10"/>
      <c r="I105" s="10"/>
      <c r="J105" s="10"/>
      <c r="K105" s="10"/>
      <c r="L105" s="10"/>
    </row>
    <row r="106" spans="1:13" ht="18" x14ac:dyDescent="0.2">
      <c r="A106" s="2" t="s">
        <v>105</v>
      </c>
      <c r="B106" s="4">
        <v>68.3</v>
      </c>
      <c r="C106" s="4">
        <v>34.89</v>
      </c>
      <c r="D106" s="4">
        <v>58.2</v>
      </c>
      <c r="E106" s="4">
        <v>138.44</v>
      </c>
      <c r="F106" s="4">
        <v>62.18</v>
      </c>
      <c r="G106" s="4">
        <v>194.85</v>
      </c>
      <c r="H106" s="10"/>
      <c r="I106" s="10"/>
      <c r="J106" s="10"/>
      <c r="K106" s="10"/>
      <c r="L106" s="10"/>
    </row>
    <row r="107" spans="1:13" ht="18" x14ac:dyDescent="0.2">
      <c r="A107" s="2" t="s">
        <v>106</v>
      </c>
      <c r="B107" s="4">
        <v>383.9</v>
      </c>
      <c r="C107" s="4">
        <v>288.88</v>
      </c>
      <c r="D107" s="4">
        <v>356.32</v>
      </c>
      <c r="E107" s="4">
        <v>416.39</v>
      </c>
      <c r="F107" s="4">
        <v>411.26</v>
      </c>
      <c r="G107" s="4">
        <v>431.55</v>
      </c>
      <c r="H107" s="10"/>
      <c r="I107" s="10"/>
      <c r="J107" s="10"/>
      <c r="K107" s="10"/>
      <c r="L107" s="10"/>
    </row>
    <row r="108" spans="1:13" ht="18" x14ac:dyDescent="0.2">
      <c r="A108" s="2" t="s">
        <v>107</v>
      </c>
      <c r="B108" s="4">
        <v>221.24</v>
      </c>
      <c r="C108" s="4">
        <v>124.73</v>
      </c>
      <c r="D108" s="4">
        <v>181.61</v>
      </c>
      <c r="E108" s="4">
        <v>178.92</v>
      </c>
      <c r="F108" s="4">
        <v>188.78</v>
      </c>
      <c r="G108" s="4">
        <v>427.59</v>
      </c>
      <c r="H108" s="10"/>
      <c r="I108" s="10"/>
      <c r="J108" s="10"/>
      <c r="K108" s="10"/>
      <c r="L108" s="10"/>
    </row>
    <row r="109" spans="1:13" ht="18" x14ac:dyDescent="0.2">
      <c r="A109" s="1"/>
      <c r="H109" s="10"/>
      <c r="I109" s="10"/>
      <c r="J109" s="10"/>
      <c r="K109" s="10"/>
      <c r="L109" s="10"/>
    </row>
    <row r="110" spans="1:13" ht="18" x14ac:dyDescent="0.2">
      <c r="A110" s="2" t="s">
        <v>108</v>
      </c>
      <c r="B110" s="6">
        <v>10499.82</v>
      </c>
      <c r="C110" s="6">
        <v>4075.62</v>
      </c>
      <c r="D110" s="6">
        <v>7737.69</v>
      </c>
      <c r="E110" s="6">
        <v>8888.3799999999992</v>
      </c>
      <c r="F110" s="6">
        <v>13603.98</v>
      </c>
      <c r="G110" s="6">
        <v>17812.849999999999</v>
      </c>
      <c r="H110" s="10">
        <f t="shared" si="3"/>
        <v>0.14823920570660135</v>
      </c>
      <c r="I110" s="10">
        <f t="shared" si="3"/>
        <v>5.7540669417374637E-2</v>
      </c>
      <c r="J110" s="10">
        <f t="shared" si="3"/>
        <v>0.10924273174244055</v>
      </c>
      <c r="K110" s="10">
        <f t="shared" si="3"/>
        <v>0.12548847420417122</v>
      </c>
      <c r="L110" s="10">
        <f t="shared" si="3"/>
        <v>0.19206454869211953</v>
      </c>
      <c r="M110" t="s">
        <v>189</v>
      </c>
    </row>
    <row r="111" spans="1:13" ht="18" x14ac:dyDescent="0.2">
      <c r="A111" s="2" t="s">
        <v>109</v>
      </c>
      <c r="B111" s="6">
        <v>3958.41</v>
      </c>
      <c r="C111" s="4">
        <v>977.26</v>
      </c>
      <c r="D111" s="6">
        <v>2871.65</v>
      </c>
      <c r="E111" s="6">
        <v>2551.9899999999998</v>
      </c>
      <c r="F111" s="6">
        <v>5898.28</v>
      </c>
      <c r="G111" s="6">
        <v>7325.35</v>
      </c>
      <c r="H111" s="10"/>
      <c r="I111" s="10"/>
      <c r="J111" s="10"/>
      <c r="K111" s="10"/>
      <c r="L111" s="10"/>
    </row>
    <row r="112" spans="1:13" ht="18" x14ac:dyDescent="0.2">
      <c r="A112" s="2" t="s">
        <v>110</v>
      </c>
      <c r="B112" s="6">
        <v>2011.74</v>
      </c>
      <c r="C112" s="4">
        <v>219.83</v>
      </c>
      <c r="D112" s="6">
        <v>1555.34</v>
      </c>
      <c r="E112" s="6">
        <v>1117.6500000000001</v>
      </c>
      <c r="F112" s="6">
        <v>3305.01</v>
      </c>
      <c r="G112" s="6">
        <v>3762.71</v>
      </c>
      <c r="H112" s="10"/>
      <c r="I112" s="10"/>
      <c r="J112" s="10"/>
      <c r="K112" s="10"/>
      <c r="L112" s="10"/>
    </row>
    <row r="113" spans="1:13" ht="18" x14ac:dyDescent="0.2">
      <c r="A113" s="2" t="s">
        <v>111</v>
      </c>
      <c r="B113" s="6">
        <v>1910.48</v>
      </c>
      <c r="C113" s="4">
        <v>757.43</v>
      </c>
      <c r="D113" s="6">
        <v>1316.32</v>
      </c>
      <c r="E113" s="6">
        <v>1383.92</v>
      </c>
      <c r="F113" s="6">
        <v>2593.27</v>
      </c>
      <c r="G113" s="6">
        <v>3433.77</v>
      </c>
      <c r="H113" s="10"/>
      <c r="I113" s="10"/>
      <c r="J113" s="10"/>
      <c r="K113" s="10"/>
      <c r="L113" s="10"/>
    </row>
    <row r="114" spans="1:13" ht="18" x14ac:dyDescent="0.2">
      <c r="A114" s="2" t="s">
        <v>112</v>
      </c>
      <c r="B114" s="4">
        <v>36.19</v>
      </c>
      <c r="C114" s="4" t="s">
        <v>179</v>
      </c>
      <c r="D114" s="4" t="s">
        <v>179</v>
      </c>
      <c r="E114" s="4">
        <v>50.42</v>
      </c>
      <c r="F114" s="4" t="s">
        <v>179</v>
      </c>
      <c r="G114" s="4">
        <v>128.88</v>
      </c>
      <c r="H114" s="10"/>
      <c r="I114" s="10"/>
      <c r="J114" s="10"/>
      <c r="K114" s="10"/>
      <c r="L114" s="10"/>
    </row>
    <row r="115" spans="1:13" ht="18" x14ac:dyDescent="0.2">
      <c r="A115" s="2" t="s">
        <v>113</v>
      </c>
      <c r="B115" s="6">
        <v>2298.2399999999998</v>
      </c>
      <c r="C115" s="6">
        <v>1260.79</v>
      </c>
      <c r="D115" s="6">
        <v>1938.13</v>
      </c>
      <c r="E115" s="6">
        <v>2381.4899999999998</v>
      </c>
      <c r="F115" s="6">
        <v>2917.69</v>
      </c>
      <c r="G115" s="6">
        <v>2918.4</v>
      </c>
      <c r="H115" s="10"/>
      <c r="I115" s="10"/>
      <c r="J115" s="10"/>
      <c r="K115" s="10"/>
      <c r="L115" s="10"/>
    </row>
    <row r="116" spans="1:13" ht="18" x14ac:dyDescent="0.2">
      <c r="A116" s="2" t="s">
        <v>115</v>
      </c>
      <c r="B116" s="6">
        <v>3576.91</v>
      </c>
      <c r="C116" s="6">
        <v>1686.61</v>
      </c>
      <c r="D116" s="6">
        <v>2602.0700000000002</v>
      </c>
      <c r="E116" s="6">
        <v>3537.33</v>
      </c>
      <c r="F116" s="6">
        <v>4000.82</v>
      </c>
      <c r="G116" s="6">
        <v>5946.23</v>
      </c>
      <c r="H116" s="10"/>
      <c r="I116" s="10"/>
      <c r="J116" s="10"/>
      <c r="K116" s="10"/>
      <c r="L116" s="10"/>
    </row>
    <row r="117" spans="1:13" ht="18" x14ac:dyDescent="0.2">
      <c r="A117" s="2" t="s">
        <v>116</v>
      </c>
      <c r="B117" s="4">
        <v>217.17</v>
      </c>
      <c r="C117" s="4">
        <v>57.27</v>
      </c>
      <c r="D117" s="4">
        <v>148.52000000000001</v>
      </c>
      <c r="E117" s="4">
        <v>212.48</v>
      </c>
      <c r="F117" s="4">
        <v>322.79000000000002</v>
      </c>
      <c r="G117" s="4">
        <v>333.17</v>
      </c>
      <c r="H117" s="10"/>
      <c r="I117" s="10"/>
      <c r="J117" s="10"/>
      <c r="K117" s="10"/>
      <c r="L117" s="10"/>
    </row>
    <row r="118" spans="1:13" ht="18" x14ac:dyDescent="0.2">
      <c r="A118" s="2" t="s">
        <v>117</v>
      </c>
      <c r="B118" s="4">
        <v>905.79</v>
      </c>
      <c r="C118" s="4">
        <v>471.23</v>
      </c>
      <c r="D118" s="4">
        <v>741.4</v>
      </c>
      <c r="E118" s="4">
        <v>863.03</v>
      </c>
      <c r="F118" s="4">
        <v>974.45</v>
      </c>
      <c r="G118" s="6">
        <v>1459.35</v>
      </c>
      <c r="H118" s="10"/>
      <c r="I118" s="10"/>
      <c r="J118" s="10"/>
      <c r="K118" s="10"/>
      <c r="L118" s="10"/>
    </row>
    <row r="119" spans="1:13" ht="18" x14ac:dyDescent="0.2">
      <c r="A119" s="2" t="s">
        <v>118</v>
      </c>
      <c r="B119" s="4">
        <v>822.56</v>
      </c>
      <c r="C119" s="4">
        <v>362.73</v>
      </c>
      <c r="D119" s="4">
        <v>379.71</v>
      </c>
      <c r="E119" s="4">
        <v>827.82</v>
      </c>
      <c r="F119" s="4">
        <v>724.21</v>
      </c>
      <c r="G119" s="6">
        <v>1791.19</v>
      </c>
      <c r="H119" s="10"/>
      <c r="I119" s="10"/>
      <c r="J119" s="10"/>
      <c r="K119" s="10"/>
      <c r="L119" s="10"/>
    </row>
    <row r="120" spans="1:13" ht="18" x14ac:dyDescent="0.2">
      <c r="A120" s="2" t="s">
        <v>119</v>
      </c>
      <c r="B120" s="6">
        <v>1631.39</v>
      </c>
      <c r="C120" s="4">
        <v>795.38</v>
      </c>
      <c r="D120" s="6">
        <v>1332.44</v>
      </c>
      <c r="E120" s="6">
        <v>1634</v>
      </c>
      <c r="F120" s="6">
        <v>1979.37</v>
      </c>
      <c r="G120" s="6">
        <v>2362.5100000000002</v>
      </c>
      <c r="H120" s="10"/>
      <c r="I120" s="10"/>
      <c r="J120" s="10"/>
      <c r="K120" s="10"/>
      <c r="L120" s="10"/>
    </row>
    <row r="121" spans="1:13" ht="18" x14ac:dyDescent="0.2">
      <c r="A121" s="2" t="s">
        <v>120</v>
      </c>
      <c r="B121" s="4">
        <v>666.26</v>
      </c>
      <c r="C121" s="4">
        <v>150.97</v>
      </c>
      <c r="D121" s="4">
        <v>325.83999999999997</v>
      </c>
      <c r="E121" s="4">
        <v>417.57</v>
      </c>
      <c r="F121" s="4">
        <v>787.18</v>
      </c>
      <c r="G121" s="6">
        <v>1622.87</v>
      </c>
      <c r="H121" s="10"/>
      <c r="I121" s="10"/>
      <c r="J121" s="10"/>
      <c r="K121" s="10"/>
      <c r="L121" s="10"/>
    </row>
    <row r="122" spans="1:13" ht="18" x14ac:dyDescent="0.2">
      <c r="A122" s="1"/>
      <c r="H122" s="10"/>
      <c r="I122" s="10"/>
      <c r="J122" s="10"/>
      <c r="K122" s="10"/>
      <c r="L122" s="10"/>
    </row>
    <row r="123" spans="1:13" ht="18" x14ac:dyDescent="0.2">
      <c r="A123" s="2" t="s">
        <v>121</v>
      </c>
      <c r="B123" s="6">
        <v>4909.43</v>
      </c>
      <c r="C123" s="6">
        <v>2826.39</v>
      </c>
      <c r="D123" s="6">
        <v>3943.16</v>
      </c>
      <c r="E123" s="6">
        <v>4349.2700000000004</v>
      </c>
      <c r="F123" s="6">
        <v>5667.19</v>
      </c>
      <c r="G123" s="6">
        <v>7638.21</v>
      </c>
      <c r="H123" s="10">
        <f t="shared" si="3"/>
        <v>6.9312617137451876E-2</v>
      </c>
      <c r="I123" s="10">
        <f t="shared" si="3"/>
        <v>3.9903713455762192E-2</v>
      </c>
      <c r="J123" s="10">
        <f t="shared" si="3"/>
        <v>5.5670564483395156E-2</v>
      </c>
      <c r="K123" s="10">
        <f t="shared" si="3"/>
        <v>6.1404131709262642E-2</v>
      </c>
      <c r="L123" s="10">
        <f t="shared" si="3"/>
        <v>8.0010871061446193E-2</v>
      </c>
      <c r="M123" t="s">
        <v>188</v>
      </c>
    </row>
    <row r="124" spans="1:13" ht="18" x14ac:dyDescent="0.2">
      <c r="A124" s="2" t="s">
        <v>122</v>
      </c>
      <c r="B124" s="6">
        <v>3527.38</v>
      </c>
      <c r="C124" s="6">
        <v>2028.99</v>
      </c>
      <c r="D124" s="6">
        <v>2831.2</v>
      </c>
      <c r="E124" s="6">
        <v>3229.39</v>
      </c>
      <c r="F124" s="6">
        <v>4126.9399999999996</v>
      </c>
      <c r="G124" s="6">
        <v>5331.36</v>
      </c>
      <c r="H124" s="10">
        <f t="shared" si="3"/>
        <v>4.98004736676773E-2</v>
      </c>
      <c r="I124" s="10">
        <f t="shared" si="3"/>
        <v>2.8645811641212618E-2</v>
      </c>
      <c r="J124" s="10">
        <f t="shared" si="3"/>
        <v>3.997162229414692E-2</v>
      </c>
      <c r="K124" s="10">
        <f t="shared" si="3"/>
        <v>4.5593372887996302E-2</v>
      </c>
      <c r="L124" s="10">
        <f t="shared" si="3"/>
        <v>5.8265218603633331E-2</v>
      </c>
    </row>
    <row r="125" spans="1:13" ht="18" x14ac:dyDescent="0.2">
      <c r="A125" s="2" t="s">
        <v>123</v>
      </c>
      <c r="B125" s="4">
        <v>816.27</v>
      </c>
      <c r="C125" s="4">
        <v>412.04</v>
      </c>
      <c r="D125" s="4">
        <v>643.1</v>
      </c>
      <c r="E125" s="4">
        <v>600.04</v>
      </c>
      <c r="F125" s="4">
        <v>883.75</v>
      </c>
      <c r="G125" s="6">
        <v>1526.39</v>
      </c>
      <c r="H125" s="10">
        <f t="shared" si="3"/>
        <v>1.1524313411289667E-2</v>
      </c>
      <c r="I125" s="10">
        <f t="shared" si="3"/>
        <v>5.8172885172648693E-3</v>
      </c>
      <c r="J125" s="10">
        <f t="shared" si="3"/>
        <v>9.0794540468232144E-3</v>
      </c>
      <c r="K125" s="10">
        <f t="shared" si="3"/>
        <v>8.47152170153289E-3</v>
      </c>
      <c r="L125" s="10">
        <f t="shared" si="3"/>
        <v>1.2477013705302466E-2</v>
      </c>
    </row>
    <row r="126" spans="1:13" ht="18" x14ac:dyDescent="0.2">
      <c r="A126" s="2" t="s">
        <v>124</v>
      </c>
      <c r="B126" s="4">
        <v>417.53</v>
      </c>
      <c r="C126" s="4">
        <v>240.48</v>
      </c>
      <c r="D126" s="4">
        <v>350.16</v>
      </c>
      <c r="E126" s="4">
        <v>374.98</v>
      </c>
      <c r="F126" s="4">
        <v>540.19000000000005</v>
      </c>
      <c r="G126" s="4">
        <v>563.21</v>
      </c>
      <c r="H126" s="10">
        <f t="shared" si="3"/>
        <v>5.8947977735501426E-3</v>
      </c>
      <c r="I126" s="10">
        <f t="shared" si="3"/>
        <v>3.3951595540041152E-3</v>
      </c>
      <c r="J126" s="10">
        <f t="shared" si="3"/>
        <v>4.9436504883153742E-3</v>
      </c>
      <c r="K126" s="10">
        <f t="shared" si="3"/>
        <v>5.2940657416852268E-3</v>
      </c>
      <c r="L126" s="10">
        <f t="shared" si="3"/>
        <v>7.626543743668843E-3</v>
      </c>
    </row>
    <row r="127" spans="1:13" ht="18" x14ac:dyDescent="0.2">
      <c r="A127" s="2" t="s">
        <v>125</v>
      </c>
      <c r="B127" s="4">
        <v>148.25</v>
      </c>
      <c r="C127" s="4">
        <v>144.87</v>
      </c>
      <c r="D127" s="4">
        <v>118.69</v>
      </c>
      <c r="E127" s="4">
        <v>144.86000000000001</v>
      </c>
      <c r="F127" s="4">
        <v>116.31</v>
      </c>
      <c r="G127" s="4">
        <v>217.24</v>
      </c>
      <c r="H127" s="10">
        <f t="shared" si="3"/>
        <v>2.0930322849347558E-3</v>
      </c>
      <c r="I127" s="10">
        <f t="shared" si="3"/>
        <v>2.0453125606644056E-3</v>
      </c>
      <c r="J127" s="10">
        <f t="shared" si="3"/>
        <v>1.6756964714934649E-3</v>
      </c>
      <c r="K127" s="10">
        <f t="shared" si="3"/>
        <v>2.0451713780482209E-3</v>
      </c>
      <c r="L127" s="10">
        <f t="shared" si="3"/>
        <v>1.6420950088415613E-3</v>
      </c>
    </row>
    <row r="128" spans="1:13" ht="18" x14ac:dyDescent="0.2">
      <c r="A128" s="1"/>
      <c r="H128" s="10">
        <f t="shared" si="3"/>
        <v>0</v>
      </c>
      <c r="I128" s="10">
        <f t="shared" si="3"/>
        <v>0</v>
      </c>
      <c r="J128" s="10">
        <f t="shared" si="3"/>
        <v>0</v>
      </c>
      <c r="K128" s="10">
        <f t="shared" si="3"/>
        <v>0</v>
      </c>
      <c r="L128" s="10">
        <f t="shared" si="3"/>
        <v>0</v>
      </c>
    </row>
    <row r="129" spans="1:12" ht="18" x14ac:dyDescent="0.2">
      <c r="A129" s="2" t="s">
        <v>126</v>
      </c>
      <c r="B129" s="6">
        <v>3134.81</v>
      </c>
      <c r="C129" s="6">
        <v>1409.45</v>
      </c>
      <c r="D129" s="6">
        <v>1817.43</v>
      </c>
      <c r="E129" s="6">
        <v>2311.1999999999998</v>
      </c>
      <c r="F129" s="6">
        <v>3611.15</v>
      </c>
      <c r="G129" s="6">
        <v>6436.3</v>
      </c>
      <c r="H129" s="10">
        <f t="shared" si="3"/>
        <v>4.4258067704123591E-2</v>
      </c>
      <c r="I129" s="10">
        <f t="shared" si="3"/>
        <v>1.9898983838120013E-2</v>
      </c>
      <c r="J129" s="10">
        <f t="shared" si="3"/>
        <v>2.5658952213213987E-2</v>
      </c>
      <c r="K129" s="10">
        <f t="shared" si="3"/>
        <v>3.2630126252554521E-2</v>
      </c>
      <c r="L129" s="10">
        <f t="shared" si="3"/>
        <v>5.0983160443454599E-2</v>
      </c>
    </row>
    <row r="130" spans="1:12" ht="18" x14ac:dyDescent="0.2">
      <c r="A130" s="2" t="s">
        <v>127</v>
      </c>
      <c r="B130" s="4">
        <v>790.26</v>
      </c>
      <c r="C130" s="4">
        <v>218.56</v>
      </c>
      <c r="D130" s="4">
        <v>273.94</v>
      </c>
      <c r="E130" s="4">
        <v>372.06</v>
      </c>
      <c r="F130" s="6">
        <v>1032.3800000000001</v>
      </c>
      <c r="G130" s="6">
        <v>2031.39</v>
      </c>
      <c r="H130" s="10">
        <f t="shared" si="3"/>
        <v>1.1157097426593864E-2</v>
      </c>
      <c r="I130" s="10">
        <f t="shared" si="3"/>
        <v>3.0856872593277591E-3</v>
      </c>
      <c r="J130" s="10">
        <f t="shared" si="3"/>
        <v>3.8675565877573496E-3</v>
      </c>
      <c r="K130" s="10">
        <f t="shared" si="3"/>
        <v>5.2528404177593609E-3</v>
      </c>
      <c r="L130" s="10">
        <f t="shared" si="3"/>
        <v>1.4575410929652234E-2</v>
      </c>
    </row>
    <row r="131" spans="1:12" ht="18" x14ac:dyDescent="0.2">
      <c r="A131" s="2" t="s">
        <v>128</v>
      </c>
      <c r="B131" s="6">
        <v>1038.28</v>
      </c>
      <c r="C131" s="4">
        <v>586.91999999999996</v>
      </c>
      <c r="D131" s="4">
        <v>799.75</v>
      </c>
      <c r="E131" s="4">
        <v>934.27</v>
      </c>
      <c r="F131" s="6">
        <v>1170.7</v>
      </c>
      <c r="G131" s="6">
        <v>1617.39</v>
      </c>
      <c r="H131" s="10">
        <f t="shared" si="3"/>
        <v>1.4658708673201069E-2</v>
      </c>
      <c r="I131" s="10">
        <f t="shared" si="3"/>
        <v>8.2862901090988653E-3</v>
      </c>
      <c r="J131" s="10">
        <f t="shared" si="3"/>
        <v>1.1291079729352924E-2</v>
      </c>
      <c r="K131" s="10">
        <f t="shared" si="3"/>
        <v>1.3190268282266404E-2</v>
      </c>
      <c r="L131" s="10">
        <f t="shared" si="3"/>
        <v>1.652824887671581E-2</v>
      </c>
    </row>
    <row r="132" spans="1:12" ht="18" x14ac:dyDescent="0.2">
      <c r="A132" s="2" t="s">
        <v>129</v>
      </c>
      <c r="B132" s="4">
        <v>933.51</v>
      </c>
      <c r="C132" s="4">
        <v>506.85</v>
      </c>
      <c r="D132" s="4">
        <v>600.01</v>
      </c>
      <c r="E132" s="4">
        <v>673.74</v>
      </c>
      <c r="F132" s="6">
        <v>1011.35</v>
      </c>
      <c r="G132" s="6">
        <v>1856.3</v>
      </c>
      <c r="H132" s="10">
        <f t="shared" ref="H132:L144" si="4">B132/$B$37</f>
        <v>1.3179538403436384E-2</v>
      </c>
      <c r="I132" s="10">
        <f t="shared" si="4"/>
        <v>7.155840901309822E-3</v>
      </c>
      <c r="J132" s="10">
        <f t="shared" si="4"/>
        <v>8.4710981536843359E-3</v>
      </c>
      <c r="K132" s="10">
        <f t="shared" si="4"/>
        <v>9.5120375828124278E-3</v>
      </c>
      <c r="L132" s="10">
        <f t="shared" si="4"/>
        <v>1.4278503887816294E-2</v>
      </c>
    </row>
    <row r="133" spans="1:12" ht="18" x14ac:dyDescent="0.2">
      <c r="A133" s="2" t="s">
        <v>130</v>
      </c>
      <c r="B133" s="4">
        <v>780.34</v>
      </c>
      <c r="C133" s="4">
        <v>424.25</v>
      </c>
      <c r="D133" s="4">
        <v>527.07000000000005</v>
      </c>
      <c r="E133" s="4">
        <v>579.9</v>
      </c>
      <c r="F133" s="4">
        <v>836.94</v>
      </c>
      <c r="G133" s="6">
        <v>1518.05</v>
      </c>
      <c r="H133" s="10">
        <f t="shared" si="4"/>
        <v>1.101704427133887E-2</v>
      </c>
      <c r="I133" s="10">
        <f t="shared" si="4"/>
        <v>5.9896724916261058E-3</v>
      </c>
      <c r="J133" s="10">
        <f t="shared" si="4"/>
        <v>7.4413121512348192E-3</v>
      </c>
      <c r="K133" s="10">
        <f t="shared" si="4"/>
        <v>8.1871799125373696E-3</v>
      </c>
      <c r="L133" s="10">
        <f t="shared" si="4"/>
        <v>1.1816137878942966E-2</v>
      </c>
    </row>
    <row r="134" spans="1:12" ht="18" x14ac:dyDescent="0.2">
      <c r="A134" s="2" t="s">
        <v>131</v>
      </c>
      <c r="B134" s="4">
        <v>153.16999999999999</v>
      </c>
      <c r="C134" s="4">
        <v>82.6</v>
      </c>
      <c r="D134" s="4">
        <v>72.94</v>
      </c>
      <c r="E134" s="4">
        <v>93.84</v>
      </c>
      <c r="F134" s="4">
        <v>174.41</v>
      </c>
      <c r="G134" s="4">
        <v>338.24</v>
      </c>
      <c r="H134" s="10">
        <f t="shared" si="4"/>
        <v>2.1624941320975148E-3</v>
      </c>
      <c r="I134" s="10">
        <f t="shared" si="4"/>
        <v>1.1661684096837155E-3</v>
      </c>
      <c r="J134" s="10">
        <f t="shared" si="4"/>
        <v>1.0297860024495184E-3</v>
      </c>
      <c r="K134" s="10">
        <f t="shared" si="4"/>
        <v>1.324857670275059E-3</v>
      </c>
      <c r="L134" s="10">
        <f t="shared" si="4"/>
        <v>2.4623660088733275E-3</v>
      </c>
    </row>
    <row r="135" spans="1:12" ht="18" x14ac:dyDescent="0.2">
      <c r="A135" s="2" t="s">
        <v>132</v>
      </c>
      <c r="B135" s="4">
        <v>372.76</v>
      </c>
      <c r="C135" s="4">
        <v>97.13</v>
      </c>
      <c r="D135" s="4">
        <v>143.74</v>
      </c>
      <c r="E135" s="4">
        <v>331.12</v>
      </c>
      <c r="F135" s="4">
        <v>396.72</v>
      </c>
      <c r="G135" s="4">
        <v>877.23</v>
      </c>
      <c r="H135" s="10">
        <f t="shared" si="4"/>
        <v>5.2627232008922737E-3</v>
      </c>
      <c r="I135" s="10">
        <f t="shared" si="4"/>
        <v>1.3713067509997492E-3</v>
      </c>
      <c r="J135" s="10">
        <f t="shared" si="4"/>
        <v>2.0293589250355605E-3</v>
      </c>
      <c r="K135" s="10">
        <f t="shared" si="4"/>
        <v>4.6748387871001443E-3</v>
      </c>
      <c r="L135" s="10">
        <f t="shared" si="4"/>
        <v>5.6009967492702626E-3</v>
      </c>
    </row>
    <row r="136" spans="1:12" ht="18" x14ac:dyDescent="0.2">
      <c r="A136" s="1"/>
      <c r="H136" s="10">
        <f t="shared" si="4"/>
        <v>0</v>
      </c>
      <c r="I136" s="10">
        <f t="shared" si="4"/>
        <v>0</v>
      </c>
      <c r="J136" s="10">
        <f t="shared" si="4"/>
        <v>0</v>
      </c>
      <c r="K136" s="10">
        <f t="shared" si="4"/>
        <v>0</v>
      </c>
      <c r="L136" s="10">
        <f t="shared" si="4"/>
        <v>0</v>
      </c>
    </row>
    <row r="137" spans="1:12" ht="18" x14ac:dyDescent="0.2">
      <c r="A137" s="2" t="s">
        <v>133</v>
      </c>
      <c r="B137" s="4">
        <v>813</v>
      </c>
      <c r="C137" s="4">
        <v>454.37</v>
      </c>
      <c r="D137" s="4">
        <v>574.25</v>
      </c>
      <c r="E137" s="4">
        <v>732.2</v>
      </c>
      <c r="F137" s="6">
        <v>1020.66</v>
      </c>
      <c r="G137" s="6">
        <v>1257.06</v>
      </c>
      <c r="H137" s="10">
        <f t="shared" si="4"/>
        <v>1.1478146695797347E-2</v>
      </c>
      <c r="I137" s="10">
        <f t="shared" si="4"/>
        <v>6.4149145315737276E-3</v>
      </c>
      <c r="J137" s="10">
        <f t="shared" si="4"/>
        <v>8.1074117343931437E-3</v>
      </c>
      <c r="K137" s="10">
        <f t="shared" si="4"/>
        <v>1.0337391157026836E-2</v>
      </c>
      <c r="L137" s="10">
        <f t="shared" si="4"/>
        <v>1.4409944903484033E-2</v>
      </c>
    </row>
    <row r="138" spans="1:12" ht="18" x14ac:dyDescent="0.2">
      <c r="A138" s="1"/>
      <c r="H138" s="10">
        <f t="shared" si="4"/>
        <v>0</v>
      </c>
      <c r="I138" s="10">
        <f t="shared" si="4"/>
        <v>0</v>
      </c>
      <c r="J138" s="10">
        <f t="shared" si="4"/>
        <v>0</v>
      </c>
      <c r="K138" s="10">
        <f t="shared" si="4"/>
        <v>0</v>
      </c>
      <c r="L138" s="10">
        <f t="shared" si="4"/>
        <v>0</v>
      </c>
    </row>
    <row r="139" spans="1:12" ht="18" x14ac:dyDescent="0.2">
      <c r="A139" s="2" t="s">
        <v>134</v>
      </c>
      <c r="B139" s="4">
        <v>89.22</v>
      </c>
      <c r="C139" s="4">
        <v>87.58</v>
      </c>
      <c r="D139" s="4">
        <v>61.41</v>
      </c>
      <c r="E139" s="4">
        <v>71.48</v>
      </c>
      <c r="F139" s="4">
        <v>81.47</v>
      </c>
      <c r="G139" s="4">
        <v>148.94999999999999</v>
      </c>
      <c r="H139" s="10">
        <f t="shared" si="4"/>
        <v>1.2596313015978342E-3</v>
      </c>
      <c r="I139" s="10">
        <f t="shared" si="4"/>
        <v>1.2364773525435813E-3</v>
      </c>
      <c r="J139" s="10">
        <f t="shared" si="4"/>
        <v>8.6700244598882537E-4</v>
      </c>
      <c r="K139" s="10">
        <f t="shared" si="4"/>
        <v>1.0091733404865859E-3</v>
      </c>
      <c r="L139" s="10">
        <f t="shared" si="4"/>
        <v>1.1502147740548706E-3</v>
      </c>
    </row>
    <row r="140" spans="1:12" ht="18" x14ac:dyDescent="0.2">
      <c r="A140" s="1"/>
      <c r="H140" s="10">
        <f t="shared" si="4"/>
        <v>0</v>
      </c>
      <c r="I140" s="10">
        <f t="shared" si="4"/>
        <v>0</v>
      </c>
      <c r="J140" s="10">
        <f t="shared" si="4"/>
        <v>0</v>
      </c>
      <c r="K140" s="10">
        <f t="shared" si="4"/>
        <v>0</v>
      </c>
      <c r="L140" s="10">
        <f t="shared" si="4"/>
        <v>0</v>
      </c>
    </row>
    <row r="141" spans="1:12" ht="18" x14ac:dyDescent="0.2">
      <c r="A141" s="2" t="s">
        <v>135</v>
      </c>
      <c r="B141" s="6">
        <v>1258.95</v>
      </c>
      <c r="C141" s="4">
        <v>522.49</v>
      </c>
      <c r="D141" s="4">
        <v>476.09</v>
      </c>
      <c r="E141" s="4">
        <v>589.63</v>
      </c>
      <c r="F141" s="4">
        <v>942.59</v>
      </c>
      <c r="G141" s="6">
        <v>3744.13</v>
      </c>
      <c r="H141" s="10">
        <f t="shared" si="4"/>
        <v>1.7774185464543752E-2</v>
      </c>
      <c r="I141" s="10">
        <f t="shared" si="4"/>
        <v>7.3766505130223314E-3</v>
      </c>
      <c r="J141" s="10">
        <f t="shared" si="4"/>
        <v>6.721563173926394E-3</v>
      </c>
      <c r="K141" s="10">
        <f t="shared" si="4"/>
        <v>8.3245505980848577E-3</v>
      </c>
      <c r="L141" s="10">
        <f t="shared" si="4"/>
        <v>1.3307732218931884E-2</v>
      </c>
    </row>
    <row r="142" spans="1:12" ht="18" x14ac:dyDescent="0.2">
      <c r="A142" s="1"/>
      <c r="H142" s="10">
        <f t="shared" si="4"/>
        <v>0</v>
      </c>
      <c r="I142" s="10">
        <f t="shared" si="4"/>
        <v>0</v>
      </c>
      <c r="J142" s="10">
        <f t="shared" si="4"/>
        <v>0</v>
      </c>
      <c r="K142" s="10">
        <f t="shared" si="4"/>
        <v>0</v>
      </c>
      <c r="L142" s="10">
        <f t="shared" si="4"/>
        <v>0</v>
      </c>
    </row>
    <row r="143" spans="1:12" ht="18" x14ac:dyDescent="0.2">
      <c r="A143" s="2" t="s">
        <v>136</v>
      </c>
      <c r="B143" s="4">
        <v>185.66</v>
      </c>
      <c r="C143" s="4">
        <v>234.16</v>
      </c>
      <c r="D143" s="4">
        <v>193.49</v>
      </c>
      <c r="E143" s="4">
        <v>169.96</v>
      </c>
      <c r="F143" s="4">
        <v>194.51</v>
      </c>
      <c r="G143" s="4">
        <v>144.6</v>
      </c>
      <c r="H143" s="10">
        <f t="shared" si="4"/>
        <v>2.6211964520808551E-3</v>
      </c>
      <c r="I143" s="10">
        <f t="shared" si="4"/>
        <v>3.305932140575531E-3</v>
      </c>
      <c r="J143" s="10">
        <f t="shared" si="4"/>
        <v>2.7317424405532949E-3</v>
      </c>
      <c r="K143" s="10">
        <f t="shared" si="4"/>
        <v>2.3995397446712387E-3</v>
      </c>
      <c r="L143" s="10">
        <f t="shared" si="4"/>
        <v>2.7461430674041104E-3</v>
      </c>
    </row>
    <row r="144" spans="1:12" ht="18" x14ac:dyDescent="0.2">
      <c r="A144" s="1"/>
    </row>
    <row r="145" spans="1:13" ht="18" x14ac:dyDescent="0.2">
      <c r="A145" s="2" t="s">
        <v>137</v>
      </c>
      <c r="B145" s="4">
        <v>966.4</v>
      </c>
      <c r="C145" s="4">
        <v>491.21</v>
      </c>
      <c r="D145" s="4">
        <v>829.77</v>
      </c>
      <c r="E145" s="6">
        <v>1098.21</v>
      </c>
      <c r="F145" s="4">
        <v>913.38</v>
      </c>
      <c r="G145" s="6">
        <v>1468.97</v>
      </c>
      <c r="H145" s="10">
        <f t="shared" ref="H145:L145" si="5">B145/$B$37</f>
        <v>1.3643888028067104E-2</v>
      </c>
      <c r="I145" s="10">
        <f t="shared" si="5"/>
        <v>6.9350312895973118E-3</v>
      </c>
      <c r="J145" s="10">
        <f t="shared" si="5"/>
        <v>1.1714909943138702E-2</v>
      </c>
      <c r="K145" s="10">
        <f t="shared" si="5"/>
        <v>1.5504816091994594E-2</v>
      </c>
      <c r="L145" s="10">
        <f t="shared" si="5"/>
        <v>1.2895337797057049E-2</v>
      </c>
      <c r="M145" t="s">
        <v>189</v>
      </c>
    </row>
    <row r="146" spans="1:13" ht="18" x14ac:dyDescent="0.2">
      <c r="A146" s="1"/>
      <c r="H146" s="11">
        <f>H145+H99+H66+H97+H91+H110+H80+H82+H93</f>
        <v>0.2935874149815933</v>
      </c>
      <c r="I146" s="11">
        <f t="shared" ref="I146:L146" si="6">I145+I99+I66+I97+I91+I110+I80+I82+I93</f>
        <v>0.12494943897557893</v>
      </c>
      <c r="J146" s="11">
        <f t="shared" si="6"/>
        <v>0.20879525344044389</v>
      </c>
      <c r="K146" s="11">
        <f t="shared" si="6"/>
        <v>0.25538128130283316</v>
      </c>
      <c r="L146" s="11">
        <f t="shared" si="6"/>
        <v>0.35440606238153893</v>
      </c>
      <c r="M146" s="11">
        <f>AVERAGE(H146:L146)</f>
        <v>0.2474238902163976</v>
      </c>
    </row>
    <row r="147" spans="1:13" ht="18" x14ac:dyDescent="0.2">
      <c r="A147" s="2" t="s">
        <v>138</v>
      </c>
      <c r="B147" s="6">
        <v>2434.96</v>
      </c>
      <c r="C147" s="4">
        <v>530.16999999999996</v>
      </c>
      <c r="D147" s="4">
        <v>998.97</v>
      </c>
      <c r="E147" s="6">
        <v>1131.44</v>
      </c>
      <c r="F147" s="6">
        <v>2466.7800000000002</v>
      </c>
      <c r="G147" s="6">
        <v>6974.35</v>
      </c>
    </row>
    <row r="148" spans="1:13" ht="18" x14ac:dyDescent="0.2">
      <c r="A148" s="1"/>
    </row>
    <row r="149" spans="1:13" ht="18" x14ac:dyDescent="0.2">
      <c r="A149" s="2" t="s">
        <v>139</v>
      </c>
      <c r="B149" s="6">
        <v>8236.65</v>
      </c>
      <c r="C149" s="4">
        <v>589.29</v>
      </c>
      <c r="D149" s="6">
        <v>2698.73</v>
      </c>
      <c r="E149" s="6">
        <v>5795.51</v>
      </c>
      <c r="F149" s="6">
        <v>10530.65</v>
      </c>
      <c r="G149" s="6">
        <v>21118.02</v>
      </c>
    </row>
    <row r="150" spans="1:13" ht="18" x14ac:dyDescent="0.2">
      <c r="A150" s="2" t="s">
        <v>140</v>
      </c>
      <c r="B150" s="4">
        <v>468.08</v>
      </c>
      <c r="C150" s="4">
        <v>114.68</v>
      </c>
      <c r="D150" s="4">
        <v>191.49</v>
      </c>
      <c r="E150" s="4">
        <v>324.06</v>
      </c>
      <c r="F150" s="4">
        <v>641.99</v>
      </c>
      <c r="G150" s="6">
        <v>1045.53</v>
      </c>
    </row>
    <row r="151" spans="1:13" ht="18" x14ac:dyDescent="0.2">
      <c r="A151" s="2" t="s">
        <v>141</v>
      </c>
      <c r="B151" s="6">
        <v>7768.58</v>
      </c>
      <c r="C151" s="4">
        <v>474.61</v>
      </c>
      <c r="D151" s="6">
        <v>2507.2399999999998</v>
      </c>
      <c r="E151" s="6">
        <v>5471.44</v>
      </c>
      <c r="F151" s="6">
        <v>9888.66</v>
      </c>
      <c r="G151" s="6">
        <v>20072.490000000002</v>
      </c>
    </row>
    <row r="152" spans="1:13" ht="18" x14ac:dyDescent="0.2">
      <c r="A152" s="1"/>
    </row>
    <row r="153" spans="1:13" ht="18" x14ac:dyDescent="0.2">
      <c r="A153" s="2" t="s">
        <v>180</v>
      </c>
      <c r="B153" s="4"/>
    </row>
    <row r="154" spans="1:13" ht="18" x14ac:dyDescent="0.2">
      <c r="A154" s="2" t="s">
        <v>181</v>
      </c>
      <c r="B154" s="6">
        <v>99022.5</v>
      </c>
      <c r="C154" s="6">
        <v>13584.06</v>
      </c>
      <c r="D154" s="6">
        <v>39369.1</v>
      </c>
      <c r="E154" s="6">
        <v>68070.28</v>
      </c>
      <c r="F154" s="6">
        <v>112527.22</v>
      </c>
      <c r="G154" s="6">
        <v>257105.69</v>
      </c>
    </row>
    <row r="155" spans="1:13" ht="18" x14ac:dyDescent="0.2">
      <c r="A155" s="2" t="s">
        <v>143</v>
      </c>
      <c r="B155" s="6">
        <v>78469.009999999995</v>
      </c>
      <c r="C155" s="6">
        <v>4563.82</v>
      </c>
      <c r="D155" s="6">
        <v>25124.1</v>
      </c>
      <c r="E155" s="6">
        <v>53601.42</v>
      </c>
      <c r="F155" s="6">
        <v>90370.240000000005</v>
      </c>
      <c r="G155" s="6">
        <v>214715.11</v>
      </c>
    </row>
    <row r="156" spans="1:13" ht="18" x14ac:dyDescent="0.2">
      <c r="A156" s="2" t="s">
        <v>144</v>
      </c>
      <c r="B156" s="6">
        <v>7124.43</v>
      </c>
      <c r="C156" s="4">
        <v>355.27</v>
      </c>
      <c r="D156" s="6">
        <v>1818.88</v>
      </c>
      <c r="E156" s="6">
        <v>3127.08</v>
      </c>
      <c r="F156" s="6">
        <v>6573.21</v>
      </c>
      <c r="G156" s="6">
        <v>23483.96</v>
      </c>
    </row>
    <row r="157" spans="1:13" ht="18" x14ac:dyDescent="0.2">
      <c r="A157" s="2" t="s">
        <v>145</v>
      </c>
      <c r="B157" s="6">
        <v>8898.15</v>
      </c>
      <c r="C157" s="6">
        <v>6813.85</v>
      </c>
      <c r="D157" s="6">
        <v>9524.23</v>
      </c>
      <c r="E157" s="6">
        <v>8549.36</v>
      </c>
      <c r="F157" s="6">
        <v>11135.25</v>
      </c>
      <c r="G157" s="6">
        <v>8337.42</v>
      </c>
    </row>
    <row r="158" spans="1:13" ht="18" x14ac:dyDescent="0.2">
      <c r="A158" s="2" t="s">
        <v>182</v>
      </c>
      <c r="B158" s="6">
        <v>3032.18</v>
      </c>
      <c r="C158" s="4">
        <v>145.15</v>
      </c>
      <c r="D158" s="6">
        <v>1166.6500000000001</v>
      </c>
      <c r="E158" s="6">
        <v>1443.08</v>
      </c>
      <c r="F158" s="6">
        <v>3337.24</v>
      </c>
      <c r="G158" s="6">
        <v>8944.99</v>
      </c>
    </row>
    <row r="159" spans="1:13" ht="18" x14ac:dyDescent="0.2">
      <c r="A159" s="2" t="s">
        <v>147</v>
      </c>
      <c r="B159" s="4">
        <v>522.65</v>
      </c>
      <c r="C159" s="6">
        <v>1118.8499999999999</v>
      </c>
      <c r="D159" s="4">
        <v>776.21</v>
      </c>
      <c r="E159" s="4">
        <v>338.02</v>
      </c>
      <c r="F159" s="4">
        <v>303.58</v>
      </c>
      <c r="G159" s="4">
        <v>120.66</v>
      </c>
    </row>
    <row r="160" spans="1:13" ht="18" x14ac:dyDescent="0.2">
      <c r="A160" s="2" t="s">
        <v>148</v>
      </c>
      <c r="B160" s="4">
        <v>609.08000000000004</v>
      </c>
      <c r="C160" s="4">
        <v>245.18</v>
      </c>
      <c r="D160" s="4">
        <v>624.44000000000005</v>
      </c>
      <c r="E160" s="4">
        <v>697.69</v>
      </c>
      <c r="F160" s="4">
        <v>600.57000000000005</v>
      </c>
      <c r="G160" s="4">
        <v>860.65</v>
      </c>
    </row>
    <row r="161" spans="1:7" ht="18" x14ac:dyDescent="0.2">
      <c r="A161" s="2" t="s">
        <v>149</v>
      </c>
      <c r="B161" s="4">
        <v>367</v>
      </c>
      <c r="C161" s="4">
        <v>341.95</v>
      </c>
      <c r="D161" s="4">
        <v>334.6</v>
      </c>
      <c r="E161" s="4">
        <v>313.61</v>
      </c>
      <c r="F161" s="4">
        <v>207.14</v>
      </c>
      <c r="G161" s="4">
        <v>642.899</v>
      </c>
    </row>
    <row r="162" spans="1:7" ht="18" x14ac:dyDescent="0.2">
      <c r="A162" s="2" t="s">
        <v>150</v>
      </c>
      <c r="B162" s="6">
        <v>16571.84</v>
      </c>
      <c r="C162" s="4">
        <v>158.78</v>
      </c>
      <c r="D162" s="6">
        <v>2815.42</v>
      </c>
      <c r="E162" s="6">
        <v>7289.49</v>
      </c>
      <c r="F162" s="6">
        <v>13720.83</v>
      </c>
      <c r="G162" s="6">
        <v>58248.74</v>
      </c>
    </row>
    <row r="163" spans="1:7" ht="18" x14ac:dyDescent="0.2">
      <c r="A163" s="2" t="s">
        <v>151</v>
      </c>
      <c r="B163" s="6">
        <v>11557.86</v>
      </c>
      <c r="C163" s="4">
        <v>-566.48</v>
      </c>
      <c r="D163" s="6">
        <v>1049.21</v>
      </c>
      <c r="E163" s="6">
        <v>4916.7299999999996</v>
      </c>
      <c r="F163" s="6">
        <v>9611.0400000000009</v>
      </c>
      <c r="G163" s="6">
        <v>42294.879999999997</v>
      </c>
    </row>
    <row r="164" spans="1:7" ht="18" x14ac:dyDescent="0.2">
      <c r="A164" s="2" t="s">
        <v>183</v>
      </c>
      <c r="B164" s="4">
        <v>889.95</v>
      </c>
      <c r="C164" s="4">
        <v>787.91</v>
      </c>
      <c r="D164" s="6">
        <v>1081.04</v>
      </c>
      <c r="E164" s="4">
        <v>918.19</v>
      </c>
      <c r="F164" s="6">
        <v>1051.3699999999999</v>
      </c>
      <c r="G164" s="4">
        <v>605.88</v>
      </c>
    </row>
    <row r="165" spans="1:7" ht="18" x14ac:dyDescent="0.2">
      <c r="A165" s="2" t="s">
        <v>152</v>
      </c>
      <c r="B165" s="6">
        <v>4116.55</v>
      </c>
      <c r="C165" s="4">
        <v>-63.38</v>
      </c>
      <c r="D165" s="4">
        <v>680.24</v>
      </c>
      <c r="E165" s="6">
        <v>1450.45</v>
      </c>
      <c r="F165" s="6">
        <v>3057.38</v>
      </c>
      <c r="G165" s="6">
        <v>15321.44</v>
      </c>
    </row>
    <row r="166" spans="1:7" ht="18" x14ac:dyDescent="0.2">
      <c r="A166" s="2" t="s">
        <v>153</v>
      </c>
      <c r="B166" s="4">
        <v>7.48</v>
      </c>
      <c r="C166" s="4">
        <v>0.73</v>
      </c>
      <c r="D166" s="4">
        <v>4.93</v>
      </c>
      <c r="E166" s="4">
        <v>4.12</v>
      </c>
      <c r="F166" s="4">
        <v>1.04</v>
      </c>
      <c r="G166" s="4">
        <v>26.53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4571-22C7-C549-A210-5C0510B9AA50}">
  <dimension ref="A1:L163"/>
  <sheetViews>
    <sheetView topLeftCell="A149" workbookViewId="0">
      <selection activeCell="I156" sqref="I156"/>
    </sheetView>
  </sheetViews>
  <sheetFormatPr baseColWidth="10" defaultRowHeight="16" x14ac:dyDescent="0.2"/>
  <sheetData>
    <row r="1" spans="1:7" x14ac:dyDescent="0.2">
      <c r="A1" t="s">
        <v>184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14332989</v>
      </c>
      <c r="C3" s="3">
        <v>2558758</v>
      </c>
      <c r="D3" s="3">
        <v>2781438</v>
      </c>
      <c r="E3" s="3">
        <v>2929901</v>
      </c>
      <c r="F3" s="3">
        <v>3068083</v>
      </c>
      <c r="G3" s="3">
        <v>2994809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93899.28</v>
      </c>
      <c r="C6" s="5">
        <v>12460.51</v>
      </c>
      <c r="D6" s="5">
        <v>36446.720000000001</v>
      </c>
      <c r="E6" s="5">
        <v>62582.76</v>
      </c>
      <c r="F6" s="5">
        <v>103429.56</v>
      </c>
      <c r="G6" s="5">
        <v>237713.94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51.1</v>
      </c>
      <c r="C8" s="4">
        <v>58.4</v>
      </c>
      <c r="D8" s="4">
        <v>52.8</v>
      </c>
      <c r="E8" s="4">
        <v>49.2</v>
      </c>
      <c r="F8" s="4">
        <v>47.4</v>
      </c>
      <c r="G8" s="4">
        <v>49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2.5</v>
      </c>
      <c r="E10" s="4">
        <v>2.7</v>
      </c>
      <c r="F10" s="4">
        <v>3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0.3</v>
      </c>
      <c r="D11" s="4">
        <v>0.7</v>
      </c>
      <c r="E11" s="4">
        <v>0.7</v>
      </c>
      <c r="F11" s="4">
        <v>0.7</v>
      </c>
      <c r="G11" s="4">
        <v>0.7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0.6</v>
      </c>
      <c r="E12" s="4">
        <v>0.4</v>
      </c>
      <c r="F12" s="4">
        <v>0.3</v>
      </c>
      <c r="G12" s="4">
        <v>0.3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</v>
      </c>
      <c r="E13" s="4">
        <v>1.5</v>
      </c>
      <c r="F13" s="4">
        <v>1.8</v>
      </c>
      <c r="G13" s="4">
        <v>2.2000000000000002</v>
      </c>
    </row>
    <row r="14" spans="1:7" ht="18" x14ac:dyDescent="0.2">
      <c r="A14" s="2" t="s">
        <v>16</v>
      </c>
      <c r="B14" s="4">
        <v>1.9</v>
      </c>
      <c r="C14" s="4">
        <v>1</v>
      </c>
      <c r="D14" s="4">
        <v>1.5</v>
      </c>
      <c r="E14" s="4">
        <v>1.9</v>
      </c>
      <c r="F14" s="4">
        <v>2.2000000000000002</v>
      </c>
      <c r="G14" s="4">
        <v>2.7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48.3</v>
      </c>
      <c r="C18" s="4">
        <v>40.5</v>
      </c>
      <c r="D18" s="4">
        <v>43.4</v>
      </c>
      <c r="E18" s="4">
        <v>47.7</v>
      </c>
      <c r="F18" s="4">
        <v>50.8</v>
      </c>
      <c r="G18" s="4">
        <v>57.5</v>
      </c>
    </row>
    <row r="19" spans="1:7" ht="18" x14ac:dyDescent="0.2">
      <c r="A19" s="2" t="s">
        <v>19</v>
      </c>
      <c r="B19" s="4">
        <v>51.7</v>
      </c>
      <c r="C19" s="4">
        <v>59.5</v>
      </c>
      <c r="D19" s="4">
        <v>56.6</v>
      </c>
      <c r="E19" s="4">
        <v>52.3</v>
      </c>
      <c r="F19" s="4">
        <v>49.2</v>
      </c>
      <c r="G19" s="4">
        <v>42.5</v>
      </c>
    </row>
    <row r="20" spans="1:7" ht="18" x14ac:dyDescent="0.2">
      <c r="A20" s="2" t="s">
        <v>21</v>
      </c>
      <c r="B20" s="4">
        <v>54.8</v>
      </c>
      <c r="C20" s="4">
        <v>38</v>
      </c>
      <c r="D20" s="4">
        <v>42.7</v>
      </c>
      <c r="E20" s="4">
        <v>51.6</v>
      </c>
      <c r="F20" s="4">
        <v>60.4</v>
      </c>
      <c r="G20" s="4">
        <v>77.8</v>
      </c>
    </row>
    <row r="21" spans="1:7" ht="18" x14ac:dyDescent="0.2">
      <c r="A21" s="2" t="s">
        <v>22</v>
      </c>
      <c r="B21" s="4">
        <v>34.700000000000003</v>
      </c>
      <c r="C21" s="4">
        <v>15.3</v>
      </c>
      <c r="D21" s="4">
        <v>17.899999999999999</v>
      </c>
      <c r="E21" s="4">
        <v>28.8</v>
      </c>
      <c r="F21" s="4">
        <v>45.5</v>
      </c>
      <c r="G21" s="4">
        <v>61.4</v>
      </c>
    </row>
    <row r="22" spans="1:7" ht="18" x14ac:dyDescent="0.2">
      <c r="A22" s="2" t="s">
        <v>23</v>
      </c>
      <c r="B22" s="4">
        <v>20.2</v>
      </c>
      <c r="C22" s="4">
        <v>22.7</v>
      </c>
      <c r="D22" s="4">
        <v>24.9</v>
      </c>
      <c r="E22" s="4">
        <v>22.8</v>
      </c>
      <c r="F22" s="4">
        <v>14.8</v>
      </c>
      <c r="G22" s="4">
        <v>16.5</v>
      </c>
    </row>
    <row r="23" spans="1:7" ht="18" x14ac:dyDescent="0.2">
      <c r="A23" s="2" t="s">
        <v>24</v>
      </c>
      <c r="B23" s="4">
        <v>45.2</v>
      </c>
      <c r="C23" s="4">
        <v>62</v>
      </c>
      <c r="D23" s="4">
        <v>57.3</v>
      </c>
      <c r="E23" s="4">
        <v>48.4</v>
      </c>
      <c r="F23" s="4">
        <v>39.6</v>
      </c>
      <c r="G23" s="4">
        <v>22.2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5.0999999999999996</v>
      </c>
      <c r="C25" s="4">
        <v>10.199999999999999</v>
      </c>
      <c r="D25" s="4">
        <v>6</v>
      </c>
      <c r="E25" s="4">
        <v>3.7</v>
      </c>
      <c r="F25" s="4">
        <v>3.7</v>
      </c>
      <c r="G25" s="4">
        <v>2.5</v>
      </c>
    </row>
    <row r="26" spans="1:7" ht="18" x14ac:dyDescent="0.2">
      <c r="A26" s="2" t="s">
        <v>172</v>
      </c>
      <c r="B26" s="4">
        <v>95</v>
      </c>
      <c r="C26" s="4">
        <v>89.8</v>
      </c>
      <c r="D26" s="4">
        <v>94</v>
      </c>
      <c r="E26" s="4">
        <v>96.3</v>
      </c>
      <c r="F26" s="4">
        <v>96.3</v>
      </c>
      <c r="G26" s="4">
        <v>97.5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28.5</v>
      </c>
      <c r="C28" s="4">
        <v>27.8</v>
      </c>
      <c r="D28" s="4">
        <v>37</v>
      </c>
      <c r="E28" s="4">
        <v>32.200000000000003</v>
      </c>
      <c r="F28" s="4">
        <v>27.3</v>
      </c>
      <c r="G28" s="4">
        <v>18.8</v>
      </c>
    </row>
    <row r="29" spans="1:7" ht="18" x14ac:dyDescent="0.2">
      <c r="A29" s="2" t="s">
        <v>30</v>
      </c>
      <c r="B29" s="4">
        <v>71.5</v>
      </c>
      <c r="C29" s="4">
        <v>72.2</v>
      </c>
      <c r="D29" s="4">
        <v>63</v>
      </c>
      <c r="E29" s="4">
        <v>67.8</v>
      </c>
      <c r="F29" s="4">
        <v>72.7</v>
      </c>
      <c r="G29" s="4">
        <v>81.2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4.4000000000000004</v>
      </c>
      <c r="C31" s="4">
        <v>6.2</v>
      </c>
      <c r="D31" s="4">
        <v>8</v>
      </c>
      <c r="E31" s="4">
        <v>4.8</v>
      </c>
      <c r="F31" s="4">
        <v>2.2999999999999998</v>
      </c>
      <c r="G31" s="4">
        <v>1.1000000000000001</v>
      </c>
    </row>
    <row r="32" spans="1:7" ht="18" x14ac:dyDescent="0.2">
      <c r="A32" s="2" t="s">
        <v>33</v>
      </c>
      <c r="B32" s="4">
        <v>22.8</v>
      </c>
      <c r="C32" s="4">
        <v>36.299999999999997</v>
      </c>
      <c r="D32" s="4">
        <v>30.8</v>
      </c>
      <c r="E32" s="4">
        <v>22.2</v>
      </c>
      <c r="F32" s="4">
        <v>16.899999999999999</v>
      </c>
      <c r="G32" s="4">
        <v>10.5</v>
      </c>
    </row>
    <row r="33" spans="1:12" ht="18" x14ac:dyDescent="0.2">
      <c r="A33" s="2" t="s">
        <v>34</v>
      </c>
      <c r="B33" s="4">
        <v>72.2</v>
      </c>
      <c r="C33" s="4">
        <v>56.6</v>
      </c>
      <c r="D33" s="4">
        <v>60.5</v>
      </c>
      <c r="E33" s="4">
        <v>72.400000000000006</v>
      </c>
      <c r="F33" s="4">
        <v>80.599999999999994</v>
      </c>
      <c r="G33" s="4">
        <v>87.8</v>
      </c>
    </row>
    <row r="34" spans="1:12" ht="18" x14ac:dyDescent="0.2">
      <c r="A34" s="2" t="s">
        <v>35</v>
      </c>
      <c r="B34" s="4">
        <v>0.6</v>
      </c>
      <c r="C34" s="4">
        <v>0.9</v>
      </c>
      <c r="D34" s="4">
        <v>0.7</v>
      </c>
      <c r="E34" s="4">
        <v>0.6</v>
      </c>
      <c r="F34" s="4">
        <v>0.3</v>
      </c>
      <c r="G34" s="4">
        <v>0.6</v>
      </c>
    </row>
    <row r="35" spans="1:12" ht="18" x14ac:dyDescent="0.2">
      <c r="A35" s="2" t="s">
        <v>36</v>
      </c>
      <c r="B35" s="4">
        <v>89.3</v>
      </c>
      <c r="C35" s="4">
        <v>70.3</v>
      </c>
      <c r="D35" s="4">
        <v>88.4</v>
      </c>
      <c r="E35" s="4">
        <v>93.5</v>
      </c>
      <c r="F35" s="4">
        <v>94.9</v>
      </c>
      <c r="G35" s="4">
        <v>96.4</v>
      </c>
    </row>
    <row r="36" spans="1:12" ht="18" x14ac:dyDescent="0.2">
      <c r="A36" s="1"/>
    </row>
    <row r="37" spans="1:12" ht="18" x14ac:dyDescent="0.2">
      <c r="A37" s="2" t="s">
        <v>37</v>
      </c>
      <c r="B37" s="5">
        <v>70481.990000000005</v>
      </c>
      <c r="C37" s="5">
        <v>31835.05</v>
      </c>
      <c r="D37" s="5">
        <v>46612.1</v>
      </c>
      <c r="E37" s="5">
        <v>59225.96</v>
      </c>
      <c r="F37" s="5">
        <v>79539.009999999995</v>
      </c>
      <c r="G37" s="5">
        <v>127346.73</v>
      </c>
    </row>
    <row r="38" spans="1:12" ht="18" x14ac:dyDescent="0.2">
      <c r="A38" s="2" t="s">
        <v>38</v>
      </c>
      <c r="B38" s="6">
        <v>9465.23</v>
      </c>
      <c r="C38" s="6">
        <v>4537.5200000000004</v>
      </c>
      <c r="D38" s="6">
        <v>7120.74</v>
      </c>
      <c r="E38" s="6">
        <v>9173.15</v>
      </c>
      <c r="F38" s="6">
        <v>10828.14</v>
      </c>
      <c r="G38" s="6">
        <v>14734.57</v>
      </c>
      <c r="H38" s="12">
        <f>B38/$B$37</f>
        <v>0.13429288815483217</v>
      </c>
      <c r="I38" s="12">
        <f t="shared" ref="I38:K38" si="0">C38/$B$37</f>
        <v>6.4378431993761809E-2</v>
      </c>
      <c r="J38" s="12">
        <f t="shared" si="0"/>
        <v>0.10102921327845595</v>
      </c>
      <c r="K38" s="12">
        <f t="shared" si="0"/>
        <v>0.13014885079152844</v>
      </c>
      <c r="L38" s="12">
        <f>F38/$B$37</f>
        <v>0.1536298847407685</v>
      </c>
    </row>
    <row r="39" spans="1:12" ht="18" x14ac:dyDescent="0.2">
      <c r="A39" s="2" t="s">
        <v>39</v>
      </c>
      <c r="B39" s="6">
        <v>5081.51</v>
      </c>
      <c r="C39" s="6">
        <v>3168.72</v>
      </c>
      <c r="D39" s="6">
        <v>4019.27</v>
      </c>
      <c r="E39" s="6">
        <v>5252.63</v>
      </c>
      <c r="F39" s="6">
        <v>5743.34</v>
      </c>
      <c r="G39" s="6">
        <v>6854.29</v>
      </c>
      <c r="H39" s="12">
        <f t="shared" ref="H39:H102" si="1">B39/$B$37</f>
        <v>7.2096573890720161E-2</v>
      </c>
      <c r="I39" s="12">
        <f t="shared" ref="I39:I102" si="2">C39/$B$37</f>
        <v>4.4957867960311558E-2</v>
      </c>
      <c r="J39" s="12">
        <f t="shared" ref="J39:J102" si="3">D39/$B$37</f>
        <v>5.7025489774054333E-2</v>
      </c>
      <c r="K39" s="12">
        <f t="shared" ref="K39:K102" si="4">E39/$B$37</f>
        <v>7.452442815533443E-2</v>
      </c>
      <c r="L39" s="12">
        <f t="shared" ref="L39:L102" si="5">F39/$B$37</f>
        <v>8.1486632258822425E-2</v>
      </c>
    </row>
    <row r="40" spans="1:12" ht="18" x14ac:dyDescent="0.2">
      <c r="A40" s="2" t="s">
        <v>40</v>
      </c>
      <c r="B40" s="4">
        <v>611.57000000000005</v>
      </c>
      <c r="C40" s="4">
        <v>389.91</v>
      </c>
      <c r="D40" s="4">
        <v>498.56</v>
      </c>
      <c r="E40" s="4">
        <v>648.1</v>
      </c>
      <c r="F40" s="4">
        <v>672.66</v>
      </c>
      <c r="G40" s="4">
        <v>807.22</v>
      </c>
      <c r="H40" s="12">
        <f t="shared" si="1"/>
        <v>8.6769684000125424E-3</v>
      </c>
      <c r="I40" s="12">
        <f t="shared" si="2"/>
        <v>5.5320515212467754E-3</v>
      </c>
      <c r="J40" s="12">
        <f t="shared" si="3"/>
        <v>7.0735800734343622E-3</v>
      </c>
      <c r="K40" s="12">
        <f t="shared" si="4"/>
        <v>9.195256830858492E-3</v>
      </c>
      <c r="L40" s="12">
        <f t="shared" si="5"/>
        <v>9.5437146425632977E-3</v>
      </c>
    </row>
    <row r="41" spans="1:12" ht="18" x14ac:dyDescent="0.2">
      <c r="A41" s="2" t="s">
        <v>41</v>
      </c>
      <c r="B41" s="4">
        <v>200.53</v>
      </c>
      <c r="C41" s="4">
        <v>111.2</v>
      </c>
      <c r="D41" s="4">
        <v>158.16</v>
      </c>
      <c r="E41" s="4">
        <v>215.79</v>
      </c>
      <c r="F41" s="4">
        <v>220.12</v>
      </c>
      <c r="G41" s="4">
        <v>280.93</v>
      </c>
      <c r="H41" s="12">
        <f t="shared" si="1"/>
        <v>2.8451239813177803E-3</v>
      </c>
      <c r="I41" s="12">
        <f t="shared" si="2"/>
        <v>1.5777080073930943E-3</v>
      </c>
      <c r="J41" s="12">
        <f t="shared" si="3"/>
        <v>2.2439775040403935E-3</v>
      </c>
      <c r="K41" s="12">
        <f t="shared" si="4"/>
        <v>3.061633191684854E-3</v>
      </c>
      <c r="L41" s="12">
        <f t="shared" si="5"/>
        <v>3.1230673254259702E-3</v>
      </c>
    </row>
    <row r="42" spans="1:12" ht="18" x14ac:dyDescent="0.2">
      <c r="A42" s="2" t="s">
        <v>42</v>
      </c>
      <c r="B42" s="4">
        <v>411.04</v>
      </c>
      <c r="C42" s="4">
        <v>278.70999999999998</v>
      </c>
      <c r="D42" s="4">
        <v>340.4</v>
      </c>
      <c r="E42" s="4">
        <v>432.31</v>
      </c>
      <c r="F42" s="4">
        <v>452.55</v>
      </c>
      <c r="G42" s="4">
        <v>526.29</v>
      </c>
      <c r="H42" s="12">
        <f t="shared" si="1"/>
        <v>5.8318444186947612E-3</v>
      </c>
      <c r="I42" s="12">
        <f t="shared" si="2"/>
        <v>3.95434351385368E-3</v>
      </c>
      <c r="J42" s="12">
        <f t="shared" si="3"/>
        <v>4.8296025693939683E-3</v>
      </c>
      <c r="K42" s="12">
        <f t="shared" si="4"/>
        <v>6.133623639173638E-3</v>
      </c>
      <c r="L42" s="12">
        <f t="shared" si="5"/>
        <v>6.4207891973538204E-3</v>
      </c>
    </row>
    <row r="43" spans="1:12" ht="18" x14ac:dyDescent="0.2">
      <c r="A43" s="2" t="s">
        <v>43</v>
      </c>
      <c r="B43" s="6">
        <v>1084.8599999999999</v>
      </c>
      <c r="C43" s="4">
        <v>696.17</v>
      </c>
      <c r="D43" s="4">
        <v>839.35</v>
      </c>
      <c r="E43" s="6">
        <v>1201.95</v>
      </c>
      <c r="F43" s="6">
        <v>1125.22</v>
      </c>
      <c r="G43" s="6">
        <v>1484.69</v>
      </c>
      <c r="H43" s="12">
        <f t="shared" si="1"/>
        <v>1.5392017166371152E-2</v>
      </c>
      <c r="I43" s="12">
        <f t="shared" si="2"/>
        <v>9.8772750315364241E-3</v>
      </c>
      <c r="J43" s="12">
        <f t="shared" si="3"/>
        <v>1.1908715971271525E-2</v>
      </c>
      <c r="K43" s="12">
        <f t="shared" si="4"/>
        <v>1.7053292621278145E-2</v>
      </c>
      <c r="L43" s="12">
        <f t="shared" si="5"/>
        <v>1.5964645720133612E-2</v>
      </c>
    </row>
    <row r="44" spans="1:12" ht="18" x14ac:dyDescent="0.2">
      <c r="A44" s="2" t="s">
        <v>44</v>
      </c>
      <c r="B44" s="4">
        <v>290.92</v>
      </c>
      <c r="C44" s="4">
        <v>217.16</v>
      </c>
      <c r="D44" s="4">
        <v>192.53</v>
      </c>
      <c r="E44" s="4">
        <v>322.77</v>
      </c>
      <c r="F44" s="4">
        <v>264.64999999999998</v>
      </c>
      <c r="G44" s="4">
        <v>437.12</v>
      </c>
      <c r="H44" s="12">
        <f t="shared" si="1"/>
        <v>4.1275792581906383E-3</v>
      </c>
      <c r="I44" s="12">
        <f t="shared" si="2"/>
        <v>3.0810707813442835E-3</v>
      </c>
      <c r="J44" s="12">
        <f t="shared" si="3"/>
        <v>2.7316198081240328E-3</v>
      </c>
      <c r="K44" s="12">
        <f t="shared" si="4"/>
        <v>4.5794677477182461E-3</v>
      </c>
      <c r="L44" s="12">
        <f t="shared" si="5"/>
        <v>3.7548599294656686E-3</v>
      </c>
    </row>
    <row r="45" spans="1:12" ht="18" x14ac:dyDescent="0.2">
      <c r="A45" s="2" t="s">
        <v>45</v>
      </c>
      <c r="B45" s="4">
        <v>183.6</v>
      </c>
      <c r="C45" s="4">
        <v>116.67</v>
      </c>
      <c r="D45" s="4">
        <v>159.34</v>
      </c>
      <c r="E45" s="4">
        <v>213.92</v>
      </c>
      <c r="F45" s="4">
        <v>203.35</v>
      </c>
      <c r="G45" s="4">
        <v>214.07</v>
      </c>
      <c r="H45" s="12">
        <f t="shared" si="1"/>
        <v>2.6049207747965114E-3</v>
      </c>
      <c r="I45" s="12">
        <f t="shared" si="2"/>
        <v>1.6553164858143193E-3</v>
      </c>
      <c r="J45" s="12">
        <f t="shared" si="3"/>
        <v>2.2607193695864717E-3</v>
      </c>
      <c r="K45" s="12">
        <f t="shared" si="4"/>
        <v>3.0351015912008154E-3</v>
      </c>
      <c r="L45" s="12">
        <f t="shared" si="5"/>
        <v>2.8851342023685765E-3</v>
      </c>
    </row>
    <row r="46" spans="1:12" ht="18" x14ac:dyDescent="0.2">
      <c r="A46" s="2" t="s">
        <v>46</v>
      </c>
      <c r="B46" s="4">
        <v>124.01</v>
      </c>
      <c r="C46" s="4">
        <v>58.08</v>
      </c>
      <c r="D46" s="4">
        <v>98</v>
      </c>
      <c r="E46" s="4">
        <v>142.66999999999999</v>
      </c>
      <c r="F46" s="4">
        <v>139.80000000000001</v>
      </c>
      <c r="G46" s="4">
        <v>170.24</v>
      </c>
      <c r="H46" s="12">
        <f t="shared" si="1"/>
        <v>1.7594565647195829E-3</v>
      </c>
      <c r="I46" s="12">
        <f t="shared" si="2"/>
        <v>8.2404029738660889E-4</v>
      </c>
      <c r="J46" s="12">
        <f t="shared" si="3"/>
        <v>1.3904261216234103E-3</v>
      </c>
      <c r="K46" s="12">
        <f t="shared" si="4"/>
        <v>2.0242050486939992E-3</v>
      </c>
      <c r="L46" s="12">
        <f t="shared" si="5"/>
        <v>1.9834854265607426E-3</v>
      </c>
    </row>
    <row r="47" spans="1:12" ht="18" x14ac:dyDescent="0.2">
      <c r="A47" s="2" t="s">
        <v>47</v>
      </c>
      <c r="B47" s="4">
        <v>223.07</v>
      </c>
      <c r="C47" s="4">
        <v>124.66</v>
      </c>
      <c r="D47" s="4">
        <v>172.92</v>
      </c>
      <c r="E47" s="4">
        <v>257.95999999999998</v>
      </c>
      <c r="F47" s="4">
        <v>248.41</v>
      </c>
      <c r="G47" s="4">
        <v>293.76</v>
      </c>
      <c r="H47" s="12">
        <f t="shared" si="1"/>
        <v>3.1649219892911648E-3</v>
      </c>
      <c r="I47" s="12">
        <f t="shared" si="2"/>
        <v>1.7686787787915747E-3</v>
      </c>
      <c r="J47" s="12">
        <f t="shared" si="3"/>
        <v>2.4533927035828582E-3</v>
      </c>
      <c r="K47" s="12">
        <f t="shared" si="4"/>
        <v>3.6599420646323969E-3</v>
      </c>
      <c r="L47" s="12">
        <f t="shared" si="5"/>
        <v>3.524446457882361E-3</v>
      </c>
    </row>
    <row r="48" spans="1:12" ht="18" x14ac:dyDescent="0.2">
      <c r="A48" s="2" t="s">
        <v>48</v>
      </c>
      <c r="B48" s="4">
        <v>166.32</v>
      </c>
      <c r="C48" s="4">
        <v>102.29</v>
      </c>
      <c r="D48" s="4">
        <v>122.88</v>
      </c>
      <c r="E48" s="4">
        <v>152.49</v>
      </c>
      <c r="F48" s="4">
        <v>175.12</v>
      </c>
      <c r="G48" s="4">
        <v>264.52</v>
      </c>
      <c r="H48" s="12">
        <f t="shared" si="1"/>
        <v>2.3597517606980165E-3</v>
      </c>
      <c r="I48" s="12">
        <f t="shared" si="2"/>
        <v>1.4512927344985578E-3</v>
      </c>
      <c r="J48" s="12">
        <f t="shared" si="3"/>
        <v>1.743424100255966E-3</v>
      </c>
      <c r="K48" s="12">
        <f t="shared" si="4"/>
        <v>2.1635314212893253E-3</v>
      </c>
      <c r="L48" s="12">
        <f t="shared" si="5"/>
        <v>2.484606351211139E-3</v>
      </c>
    </row>
    <row r="49" spans="1:12" ht="18" x14ac:dyDescent="0.2">
      <c r="A49" s="2" t="s">
        <v>49</v>
      </c>
      <c r="B49" s="4">
        <v>96.93</v>
      </c>
      <c r="C49" s="4">
        <v>77.3</v>
      </c>
      <c r="D49" s="4">
        <v>93.68</v>
      </c>
      <c r="E49" s="4">
        <v>112.15</v>
      </c>
      <c r="F49" s="4">
        <v>93.89</v>
      </c>
      <c r="G49" s="4">
        <v>104.99</v>
      </c>
      <c r="H49" s="12">
        <f t="shared" si="1"/>
        <v>1.3752449384587468E-3</v>
      </c>
      <c r="I49" s="12">
        <f t="shared" si="2"/>
        <v>1.096734073484588E-3</v>
      </c>
      <c r="J49" s="12">
        <f t="shared" si="3"/>
        <v>1.3291338680987866E-3</v>
      </c>
      <c r="K49" s="12">
        <f t="shared" si="4"/>
        <v>1.5911866279598517E-3</v>
      </c>
      <c r="L49" s="12">
        <f t="shared" si="5"/>
        <v>1.3321133526451225E-3</v>
      </c>
    </row>
    <row r="50" spans="1:12" ht="18" x14ac:dyDescent="0.2">
      <c r="A50" s="2" t="s">
        <v>50</v>
      </c>
      <c r="B50" s="4">
        <v>532.38</v>
      </c>
      <c r="C50" s="4">
        <v>362.01</v>
      </c>
      <c r="D50" s="4">
        <v>433</v>
      </c>
      <c r="E50" s="4">
        <v>551.13</v>
      </c>
      <c r="F50" s="4">
        <v>582.07000000000005</v>
      </c>
      <c r="G50" s="4">
        <v>700.23</v>
      </c>
      <c r="H50" s="12">
        <f t="shared" si="1"/>
        <v>7.5534189656109307E-3</v>
      </c>
      <c r="I50" s="12">
        <f t="shared" si="2"/>
        <v>5.1362057172335794E-3</v>
      </c>
      <c r="J50" s="12">
        <f t="shared" si="3"/>
        <v>6.1434133741115988E-3</v>
      </c>
      <c r="K50" s="12">
        <f t="shared" si="4"/>
        <v>7.8194443715337777E-3</v>
      </c>
      <c r="L50" s="12">
        <f t="shared" si="5"/>
        <v>8.258421761360598E-3</v>
      </c>
    </row>
    <row r="51" spans="1:12" ht="18" x14ac:dyDescent="0.2">
      <c r="A51" s="2" t="s">
        <v>51</v>
      </c>
      <c r="B51" s="4">
        <v>178.31</v>
      </c>
      <c r="C51" s="4">
        <v>142.56</v>
      </c>
      <c r="D51" s="4">
        <v>156.16</v>
      </c>
      <c r="E51" s="4">
        <v>195.21</v>
      </c>
      <c r="F51" s="4">
        <v>196.76</v>
      </c>
      <c r="G51" s="4">
        <v>194.41</v>
      </c>
      <c r="H51" s="12">
        <f t="shared" si="1"/>
        <v>2.5298661402721459E-3</v>
      </c>
      <c r="I51" s="12">
        <f t="shared" si="2"/>
        <v>2.0226443663125854E-3</v>
      </c>
      <c r="J51" s="12">
        <f t="shared" si="3"/>
        <v>2.2156014607419565E-3</v>
      </c>
      <c r="K51" s="12">
        <f t="shared" si="4"/>
        <v>2.769643706143938E-3</v>
      </c>
      <c r="L51" s="12">
        <f t="shared" si="5"/>
        <v>2.7916351397002264E-3</v>
      </c>
    </row>
    <row r="52" spans="1:12" ht="18" x14ac:dyDescent="0.2">
      <c r="A52" s="2" t="s">
        <v>52</v>
      </c>
      <c r="B52" s="4">
        <v>354.07</v>
      </c>
      <c r="C52" s="4">
        <v>219.46</v>
      </c>
      <c r="D52" s="4">
        <v>276.83999999999997</v>
      </c>
      <c r="E52" s="4">
        <v>355.92</v>
      </c>
      <c r="F52" s="4">
        <v>385.31</v>
      </c>
      <c r="G52" s="4">
        <v>505.82</v>
      </c>
      <c r="H52" s="12">
        <f t="shared" si="1"/>
        <v>5.0235528253387849E-3</v>
      </c>
      <c r="I52" s="12">
        <f t="shared" si="2"/>
        <v>3.1137032311374861E-3</v>
      </c>
      <c r="J52" s="12">
        <f t="shared" si="3"/>
        <v>3.9278119133696419E-3</v>
      </c>
      <c r="K52" s="12">
        <f t="shared" si="4"/>
        <v>5.0498006653898388E-3</v>
      </c>
      <c r="L52" s="12">
        <f t="shared" si="5"/>
        <v>5.4667866216603703E-3</v>
      </c>
    </row>
    <row r="53" spans="1:12" ht="18" x14ac:dyDescent="0.2">
      <c r="A53" s="2" t="s">
        <v>53</v>
      </c>
      <c r="B53" s="6">
        <v>1048.05</v>
      </c>
      <c r="C53" s="4">
        <v>668.1</v>
      </c>
      <c r="D53" s="4">
        <v>833.54</v>
      </c>
      <c r="E53" s="6">
        <v>1061.6300000000001</v>
      </c>
      <c r="F53" s="6">
        <v>1166.79</v>
      </c>
      <c r="G53" s="6">
        <v>1435.32</v>
      </c>
      <c r="H53" s="12">
        <f t="shared" si="1"/>
        <v>1.4869756089463421E-2</v>
      </c>
      <c r="I53" s="12">
        <f t="shared" si="2"/>
        <v>9.4790172638428618E-3</v>
      </c>
      <c r="J53" s="12">
        <f t="shared" si="3"/>
        <v>1.1826283565489565E-2</v>
      </c>
      <c r="K53" s="12">
        <f t="shared" si="4"/>
        <v>1.5062429423459809E-2</v>
      </c>
      <c r="L53" s="12">
        <f t="shared" si="5"/>
        <v>1.6554441780091623E-2</v>
      </c>
    </row>
    <row r="54" spans="1:12" ht="18" x14ac:dyDescent="0.2">
      <c r="A54" s="2" t="s">
        <v>54</v>
      </c>
      <c r="B54" s="4">
        <v>411.44</v>
      </c>
      <c r="C54" s="4">
        <v>235.22</v>
      </c>
      <c r="D54" s="4">
        <v>321.93</v>
      </c>
      <c r="E54" s="4">
        <v>436.09</v>
      </c>
      <c r="F54" s="4">
        <v>427.1</v>
      </c>
      <c r="G54" s="4">
        <v>603.04</v>
      </c>
      <c r="H54" s="12">
        <f t="shared" si="1"/>
        <v>5.8375196273544481E-3</v>
      </c>
      <c r="I54" s="12">
        <f t="shared" si="2"/>
        <v>3.3373064523291693E-3</v>
      </c>
      <c r="J54" s="12">
        <f t="shared" si="3"/>
        <v>4.5675498095329031E-3</v>
      </c>
      <c r="K54" s="12">
        <f t="shared" si="4"/>
        <v>6.1872543610076835E-3</v>
      </c>
      <c r="L54" s="12">
        <f t="shared" si="5"/>
        <v>6.0597040463812105E-3</v>
      </c>
    </row>
    <row r="55" spans="1:12" ht="18" x14ac:dyDescent="0.2">
      <c r="A55" s="2" t="s">
        <v>55</v>
      </c>
      <c r="B55" s="4">
        <v>392.81</v>
      </c>
      <c r="C55" s="4">
        <v>270.63</v>
      </c>
      <c r="D55" s="4">
        <v>316.52</v>
      </c>
      <c r="E55" s="4">
        <v>381.72</v>
      </c>
      <c r="F55" s="4">
        <v>462.23</v>
      </c>
      <c r="G55" s="4">
        <v>508.2</v>
      </c>
      <c r="H55" s="12">
        <f t="shared" si="1"/>
        <v>5.5731967840295087E-3</v>
      </c>
      <c r="I55" s="12">
        <f t="shared" si="2"/>
        <v>3.8397042989279954E-3</v>
      </c>
      <c r="J55" s="12">
        <f t="shared" si="3"/>
        <v>4.4907926124106304E-3</v>
      </c>
      <c r="K55" s="12">
        <f t="shared" si="4"/>
        <v>5.4158516239396761E-3</v>
      </c>
      <c r="L55" s="12">
        <f t="shared" si="5"/>
        <v>6.5581292469182552E-3</v>
      </c>
    </row>
    <row r="56" spans="1:12" ht="18" x14ac:dyDescent="0.2">
      <c r="A56" s="2" t="s">
        <v>56</v>
      </c>
      <c r="B56" s="4">
        <v>115.36</v>
      </c>
      <c r="C56" s="4">
        <v>74.83</v>
      </c>
      <c r="D56" s="4">
        <v>85.86</v>
      </c>
      <c r="E56" s="4">
        <v>121.2</v>
      </c>
      <c r="F56" s="4">
        <v>121.19</v>
      </c>
      <c r="G56" s="4">
        <v>165.05</v>
      </c>
      <c r="H56" s="12">
        <f t="shared" si="1"/>
        <v>1.6367301774538429E-3</v>
      </c>
      <c r="I56" s="12">
        <f t="shared" si="2"/>
        <v>1.0616896600110183E-3</v>
      </c>
      <c r="J56" s="12">
        <f t="shared" si="3"/>
        <v>1.2181835388018981E-3</v>
      </c>
      <c r="K56" s="12">
        <f t="shared" si="4"/>
        <v>1.719588223885279E-3</v>
      </c>
      <c r="L56" s="12">
        <f t="shared" si="5"/>
        <v>1.7194463436687867E-3</v>
      </c>
    </row>
    <row r="57" spans="1:12" ht="18" x14ac:dyDescent="0.2">
      <c r="A57" s="2" t="s">
        <v>57</v>
      </c>
      <c r="B57" s="4">
        <v>128.44</v>
      </c>
      <c r="C57" s="4">
        <v>87.41</v>
      </c>
      <c r="D57" s="4">
        <v>109.24</v>
      </c>
      <c r="E57" s="4">
        <v>122.63</v>
      </c>
      <c r="F57" s="4">
        <v>156.27000000000001</v>
      </c>
      <c r="G57" s="4">
        <v>159.03</v>
      </c>
      <c r="H57" s="12">
        <f t="shared" si="1"/>
        <v>1.8223095006256206E-3</v>
      </c>
      <c r="I57" s="12">
        <f t="shared" si="2"/>
        <v>1.2401749723581867E-3</v>
      </c>
      <c r="J57" s="12">
        <f t="shared" si="3"/>
        <v>1.5498994849606259E-3</v>
      </c>
      <c r="K57" s="12">
        <f t="shared" si="4"/>
        <v>1.7398770948436613E-3</v>
      </c>
      <c r="L57" s="12">
        <f t="shared" si="5"/>
        <v>2.2171621431233707E-3</v>
      </c>
    </row>
    <row r="58" spans="1:12" ht="18" x14ac:dyDescent="0.2">
      <c r="A58" s="2" t="s">
        <v>59</v>
      </c>
      <c r="B58" s="6">
        <v>1804.65</v>
      </c>
      <c r="C58" s="6">
        <v>1052.53</v>
      </c>
      <c r="D58" s="6">
        <v>1414.81</v>
      </c>
      <c r="E58" s="6">
        <v>1789.82</v>
      </c>
      <c r="F58" s="6">
        <v>2196.6</v>
      </c>
      <c r="G58" s="6">
        <v>2426.8200000000002</v>
      </c>
      <c r="H58" s="12">
        <f t="shared" si="1"/>
        <v>2.5604413269262119E-2</v>
      </c>
      <c r="I58" s="12">
        <f t="shared" si="2"/>
        <v>1.493331842645192E-2</v>
      </c>
      <c r="J58" s="12">
        <f t="shared" si="3"/>
        <v>2.0073354909530786E-2</v>
      </c>
      <c r="K58" s="12">
        <f t="shared" si="4"/>
        <v>2.5394004908204208E-2</v>
      </c>
      <c r="L58" s="12">
        <f t="shared" si="5"/>
        <v>3.1165408354673296E-2</v>
      </c>
    </row>
    <row r="59" spans="1:12" ht="18" x14ac:dyDescent="0.2">
      <c r="A59" s="2" t="s">
        <v>60</v>
      </c>
      <c r="B59" s="4">
        <v>151.78</v>
      </c>
      <c r="C59" s="4">
        <v>75.72</v>
      </c>
      <c r="D59" s="4">
        <v>110.63</v>
      </c>
      <c r="E59" s="4">
        <v>160.19</v>
      </c>
      <c r="F59" s="4">
        <v>224.3</v>
      </c>
      <c r="G59" s="4">
        <v>174.62</v>
      </c>
      <c r="H59" s="12">
        <f t="shared" si="1"/>
        <v>2.1534579259183798E-3</v>
      </c>
      <c r="I59" s="12">
        <f t="shared" si="2"/>
        <v>1.0743169992788227E-3</v>
      </c>
      <c r="J59" s="12">
        <f t="shared" si="3"/>
        <v>1.5696208350530396E-3</v>
      </c>
      <c r="K59" s="12">
        <f t="shared" si="4"/>
        <v>2.2727791879883072E-3</v>
      </c>
      <c r="L59" s="12">
        <f t="shared" si="5"/>
        <v>3.1823732559197035E-3</v>
      </c>
    </row>
    <row r="60" spans="1:12" ht="18" x14ac:dyDescent="0.2">
      <c r="A60" s="2" t="s">
        <v>61</v>
      </c>
      <c r="B60" s="4">
        <v>126.01</v>
      </c>
      <c r="C60" s="4">
        <v>77.19</v>
      </c>
      <c r="D60" s="4">
        <v>93.87</v>
      </c>
      <c r="E60" s="4">
        <v>132.69</v>
      </c>
      <c r="F60" s="4">
        <v>139.46</v>
      </c>
      <c r="G60" s="4">
        <v>176.88</v>
      </c>
      <c r="H60" s="12">
        <f t="shared" si="1"/>
        <v>1.7878326080180199E-3</v>
      </c>
      <c r="I60" s="12">
        <f t="shared" si="2"/>
        <v>1.095173391103174E-3</v>
      </c>
      <c r="J60" s="12">
        <f t="shared" si="3"/>
        <v>1.3318295922121381E-3</v>
      </c>
      <c r="K60" s="12">
        <f t="shared" si="4"/>
        <v>1.8826085926347991E-3</v>
      </c>
      <c r="L60" s="12">
        <f t="shared" si="5"/>
        <v>1.9786614992000082E-3</v>
      </c>
    </row>
    <row r="61" spans="1:12" ht="18" x14ac:dyDescent="0.2">
      <c r="A61" s="2" t="s">
        <v>62</v>
      </c>
      <c r="B61" s="4">
        <v>964.33</v>
      </c>
      <c r="C61" s="4">
        <v>584.4</v>
      </c>
      <c r="D61" s="4">
        <v>788.27</v>
      </c>
      <c r="E61" s="4">
        <v>955.52</v>
      </c>
      <c r="F61" s="6">
        <v>1093.83</v>
      </c>
      <c r="G61" s="6">
        <v>1328.11</v>
      </c>
      <c r="H61" s="12">
        <f t="shared" si="1"/>
        <v>1.3681934916990851E-2</v>
      </c>
      <c r="I61" s="12">
        <f t="shared" si="2"/>
        <v>8.2914798518032747E-3</v>
      </c>
      <c r="J61" s="12">
        <f t="shared" si="3"/>
        <v>1.1183991825429446E-2</v>
      </c>
      <c r="K61" s="12">
        <f t="shared" si="4"/>
        <v>1.3556938446261236E-2</v>
      </c>
      <c r="L61" s="12">
        <f t="shared" si="5"/>
        <v>1.5519283720564641E-2</v>
      </c>
    </row>
    <row r="62" spans="1:12" ht="18" x14ac:dyDescent="0.2">
      <c r="A62" s="2" t="s">
        <v>63</v>
      </c>
      <c r="B62" s="4">
        <v>492.05</v>
      </c>
      <c r="C62" s="4">
        <v>284.47000000000003</v>
      </c>
      <c r="D62" s="4">
        <v>370.55</v>
      </c>
      <c r="E62" s="4">
        <v>494.51</v>
      </c>
      <c r="F62" s="4">
        <v>645.76</v>
      </c>
      <c r="G62" s="4">
        <v>625.42999999999995</v>
      </c>
      <c r="H62" s="12">
        <f t="shared" si="1"/>
        <v>6.9812160524979497E-3</v>
      </c>
      <c r="I62" s="12">
        <f t="shared" si="2"/>
        <v>4.0360665185531792E-3</v>
      </c>
      <c r="J62" s="12">
        <f t="shared" si="3"/>
        <v>5.2573714221179051E-3</v>
      </c>
      <c r="K62" s="12">
        <f t="shared" si="4"/>
        <v>7.016118585755027E-3</v>
      </c>
      <c r="L62" s="12">
        <f t="shared" si="5"/>
        <v>9.1620568601993215E-3</v>
      </c>
    </row>
    <row r="63" spans="1:12" ht="18" x14ac:dyDescent="0.2">
      <c r="A63" s="2" t="s">
        <v>175</v>
      </c>
      <c r="B63" s="4">
        <v>70.48</v>
      </c>
      <c r="C63" s="4">
        <v>30.75</v>
      </c>
      <c r="D63" s="4">
        <v>51.49</v>
      </c>
      <c r="E63" s="4">
        <v>46.91</v>
      </c>
      <c r="F63" s="4">
        <v>93.25</v>
      </c>
      <c r="G63" s="4">
        <v>121.78</v>
      </c>
      <c r="H63" s="12">
        <f t="shared" si="1"/>
        <v>9.9997176583691808E-4</v>
      </c>
      <c r="I63" s="12">
        <f t="shared" si="2"/>
        <v>4.3628166571346803E-4</v>
      </c>
      <c r="J63" s="12">
        <f t="shared" si="3"/>
        <v>7.3054123471825918E-4</v>
      </c>
      <c r="K63" s="12">
        <f t="shared" si="4"/>
        <v>6.6556009556483853E-4</v>
      </c>
      <c r="L63" s="12">
        <f t="shared" si="5"/>
        <v>1.3230330187896226E-3</v>
      </c>
    </row>
    <row r="64" spans="1:12" ht="18" x14ac:dyDescent="0.2">
      <c r="A64" s="2" t="s">
        <v>65</v>
      </c>
      <c r="B64" s="6">
        <v>4383.7299999999996</v>
      </c>
      <c r="C64" s="6">
        <v>1368.8</v>
      </c>
      <c r="D64" s="6">
        <v>3101.48</v>
      </c>
      <c r="E64" s="6">
        <v>3920.52</v>
      </c>
      <c r="F64" s="6">
        <v>5084.8</v>
      </c>
      <c r="G64" s="6">
        <v>7880.28</v>
      </c>
      <c r="H64" s="12">
        <f t="shared" si="1"/>
        <v>6.2196456144328491E-2</v>
      </c>
      <c r="I64" s="12">
        <f t="shared" si="2"/>
        <v>1.9420564033450244E-2</v>
      </c>
      <c r="J64" s="12">
        <f t="shared" si="3"/>
        <v>4.4003865384618111E-2</v>
      </c>
      <c r="K64" s="12">
        <f t="shared" si="4"/>
        <v>5.5624422636194007E-2</v>
      </c>
      <c r="L64" s="12">
        <f t="shared" si="5"/>
        <v>7.2143252481946099E-2</v>
      </c>
    </row>
    <row r="65" spans="1:12" ht="18" x14ac:dyDescent="0.2">
      <c r="A65" s="1"/>
      <c r="H65" s="12">
        <f t="shared" si="1"/>
        <v>0</v>
      </c>
      <c r="I65" s="12">
        <f t="shared" si="2"/>
        <v>0</v>
      </c>
      <c r="J65" s="12">
        <f t="shared" si="3"/>
        <v>0</v>
      </c>
      <c r="K65" s="12">
        <f t="shared" si="4"/>
        <v>0</v>
      </c>
      <c r="L65" s="12">
        <f t="shared" si="5"/>
        <v>0</v>
      </c>
    </row>
    <row r="66" spans="1:12" ht="18" x14ac:dyDescent="0.2">
      <c r="A66" s="2" t="s">
        <v>66</v>
      </c>
      <c r="B66" s="4">
        <v>774.57</v>
      </c>
      <c r="C66" s="4">
        <v>316.51</v>
      </c>
      <c r="D66" s="4">
        <v>466.29</v>
      </c>
      <c r="E66" s="4">
        <v>626.05999999999995</v>
      </c>
      <c r="F66" s="4">
        <v>865.7</v>
      </c>
      <c r="G66" s="6">
        <v>1496.41</v>
      </c>
      <c r="H66" s="12">
        <f t="shared" si="1"/>
        <v>1.0989615928835154E-2</v>
      </c>
      <c r="I66" s="12">
        <f t="shared" si="2"/>
        <v>4.4906507321941392E-3</v>
      </c>
      <c r="J66" s="12">
        <f t="shared" si="3"/>
        <v>6.6157326148140825E-3</v>
      </c>
      <c r="K66" s="12">
        <f t="shared" si="4"/>
        <v>8.882552833709716E-3</v>
      </c>
      <c r="L66" s="12">
        <f t="shared" si="5"/>
        <v>1.2282570341728433E-2</v>
      </c>
    </row>
    <row r="67" spans="1:12" ht="18" x14ac:dyDescent="0.2">
      <c r="A67" s="1"/>
      <c r="H67" s="12">
        <f t="shared" si="1"/>
        <v>0</v>
      </c>
      <c r="I67" s="12">
        <f t="shared" si="2"/>
        <v>0</v>
      </c>
      <c r="J67" s="12">
        <f t="shared" si="3"/>
        <v>0</v>
      </c>
      <c r="K67" s="12">
        <f t="shared" si="4"/>
        <v>0</v>
      </c>
      <c r="L67" s="12">
        <f t="shared" si="5"/>
        <v>0</v>
      </c>
    </row>
    <row r="68" spans="1:12" ht="18" x14ac:dyDescent="0.2">
      <c r="A68" s="2" t="s">
        <v>67</v>
      </c>
      <c r="B68" s="6">
        <v>25730.17</v>
      </c>
      <c r="C68" s="6">
        <v>14646.1</v>
      </c>
      <c r="D68" s="6">
        <v>19462.48</v>
      </c>
      <c r="E68" s="6">
        <v>21919.89</v>
      </c>
      <c r="F68" s="6">
        <v>28648.17</v>
      </c>
      <c r="G68" s="6">
        <v>41742.839999999997</v>
      </c>
      <c r="H68" s="12">
        <f t="shared" si="1"/>
        <v>0.36506020899807168</v>
      </c>
      <c r="I68" s="12">
        <f t="shared" si="2"/>
        <v>0.20779918387661869</v>
      </c>
      <c r="J68" s="12">
        <f t="shared" si="3"/>
        <v>0.27613408758748154</v>
      </c>
      <c r="K68" s="12">
        <f t="shared" si="4"/>
        <v>0.31099987386848749</v>
      </c>
      <c r="L68" s="12">
        <f t="shared" si="5"/>
        <v>0.40646085617049116</v>
      </c>
    </row>
    <row r="69" spans="1:12" ht="18" x14ac:dyDescent="0.2">
      <c r="A69" s="2" t="s">
        <v>68</v>
      </c>
      <c r="B69" s="6">
        <v>17146.32</v>
      </c>
      <c r="C69" s="6">
        <v>10215.25</v>
      </c>
      <c r="D69" s="6">
        <v>13141.32</v>
      </c>
      <c r="E69" s="6">
        <v>15053.96</v>
      </c>
      <c r="F69" s="6">
        <v>19150.82</v>
      </c>
      <c r="G69" s="6">
        <v>26781.34</v>
      </c>
      <c r="H69" s="12">
        <f t="shared" si="1"/>
        <v>0.24327235936442768</v>
      </c>
      <c r="I69" s="12">
        <f t="shared" si="2"/>
        <v>0.14493418815217901</v>
      </c>
      <c r="J69" s="12">
        <f t="shared" si="3"/>
        <v>0.18644933265930769</v>
      </c>
      <c r="K69" s="12">
        <f t="shared" si="4"/>
        <v>0.2135859103864689</v>
      </c>
      <c r="L69" s="12">
        <f t="shared" si="5"/>
        <v>0.2717122487602861</v>
      </c>
    </row>
    <row r="70" spans="1:12" ht="18" x14ac:dyDescent="0.2">
      <c r="A70" s="2" t="s">
        <v>69</v>
      </c>
      <c r="B70" s="6">
        <v>8019.34</v>
      </c>
      <c r="C70" s="6">
        <v>3225.87</v>
      </c>
      <c r="D70" s="6">
        <v>3875.46</v>
      </c>
      <c r="E70" s="6">
        <v>5237.8999999999996</v>
      </c>
      <c r="F70" s="6">
        <v>8926.08</v>
      </c>
      <c r="G70" s="6">
        <v>17755.759999999998</v>
      </c>
      <c r="H70" s="12">
        <f t="shared" si="1"/>
        <v>0.11377856953244367</v>
      </c>
      <c r="I70" s="12">
        <f t="shared" si="2"/>
        <v>4.5768713397564394E-2</v>
      </c>
      <c r="J70" s="12">
        <f t="shared" si="3"/>
        <v>5.4985110380680227E-2</v>
      </c>
      <c r="K70" s="12">
        <f t="shared" si="4"/>
        <v>7.4315438596441435E-2</v>
      </c>
      <c r="L70" s="12">
        <f t="shared" si="5"/>
        <v>0.12664341628265602</v>
      </c>
    </row>
    <row r="71" spans="1:12" ht="18" x14ac:dyDescent="0.2">
      <c r="A71" s="2" t="s">
        <v>70</v>
      </c>
      <c r="B71" s="6">
        <v>3857.43</v>
      </c>
      <c r="C71" s="6">
        <v>1208.0899999999999</v>
      </c>
      <c r="D71" s="6">
        <v>1224.52</v>
      </c>
      <c r="E71" s="6">
        <v>2320.4699999999998</v>
      </c>
      <c r="F71" s="6">
        <v>4720.88</v>
      </c>
      <c r="G71" s="6">
        <v>9185.4</v>
      </c>
      <c r="H71" s="12">
        <f t="shared" si="1"/>
        <v>5.472930035034481E-2</v>
      </c>
      <c r="I71" s="12">
        <f t="shared" si="2"/>
        <v>1.7140407074204344E-2</v>
      </c>
      <c r="J71" s="12">
        <f t="shared" si="3"/>
        <v>1.7373516269901003E-2</v>
      </c>
      <c r="K71" s="12">
        <f t="shared" si="4"/>
        <v>3.292287859636199E-2</v>
      </c>
      <c r="L71" s="12">
        <f t="shared" si="5"/>
        <v>6.69799476433625E-2</v>
      </c>
    </row>
    <row r="72" spans="1:12" ht="18" x14ac:dyDescent="0.2">
      <c r="A72" s="2" t="s">
        <v>71</v>
      </c>
      <c r="B72" s="6">
        <v>2560.1799999999998</v>
      </c>
      <c r="C72" s="6">
        <v>1119.55</v>
      </c>
      <c r="D72" s="6">
        <v>1314.68</v>
      </c>
      <c r="E72" s="6">
        <v>1847.09</v>
      </c>
      <c r="F72" s="6">
        <v>2742.29</v>
      </c>
      <c r="G72" s="6">
        <v>5458.86</v>
      </c>
      <c r="H72" s="12">
        <f t="shared" si="1"/>
        <v>3.632388926589615E-2</v>
      </c>
      <c r="I72" s="12">
        <f t="shared" si="2"/>
        <v>1.5884199637382541E-2</v>
      </c>
      <c r="J72" s="12">
        <f t="shared" si="3"/>
        <v>1.8652708301794545E-2</v>
      </c>
      <c r="K72" s="12">
        <f t="shared" si="4"/>
        <v>2.6206552908054948E-2</v>
      </c>
      <c r="L72" s="12">
        <f t="shared" si="5"/>
        <v>3.8907669888435324E-2</v>
      </c>
    </row>
    <row r="73" spans="1:12" ht="18" x14ac:dyDescent="0.2">
      <c r="A73" s="2" t="s">
        <v>176</v>
      </c>
      <c r="B73" s="6">
        <v>1601.74</v>
      </c>
      <c r="C73" s="4">
        <v>898.23</v>
      </c>
      <c r="D73" s="6">
        <v>1336.26</v>
      </c>
      <c r="E73" s="6">
        <v>1070.3399999999999</v>
      </c>
      <c r="F73" s="6">
        <v>1462.91</v>
      </c>
      <c r="G73" s="6">
        <v>3111.5</v>
      </c>
      <c r="H73" s="12">
        <f t="shared" si="1"/>
        <v>2.2725521796419196E-2</v>
      </c>
      <c r="I73" s="12">
        <f t="shared" si="2"/>
        <v>1.2744106685977509E-2</v>
      </c>
      <c r="J73" s="12">
        <f t="shared" si="3"/>
        <v>1.8958885808984676E-2</v>
      </c>
      <c r="K73" s="12">
        <f t="shared" si="4"/>
        <v>1.5186007092024499E-2</v>
      </c>
      <c r="L73" s="12">
        <f t="shared" si="5"/>
        <v>2.0755798750858197E-2</v>
      </c>
    </row>
    <row r="74" spans="1:12" ht="18" x14ac:dyDescent="0.2">
      <c r="A74" s="2" t="s">
        <v>73</v>
      </c>
      <c r="B74" s="6">
        <v>8137.74</v>
      </c>
      <c r="C74" s="6">
        <v>6708.02</v>
      </c>
      <c r="D74" s="6">
        <v>8579.65</v>
      </c>
      <c r="E74" s="6">
        <v>9020.0499999999993</v>
      </c>
      <c r="F74" s="6">
        <v>9386.75</v>
      </c>
      <c r="G74" s="6">
        <v>6806.09</v>
      </c>
      <c r="H74" s="12">
        <f t="shared" si="1"/>
        <v>0.11545843129571114</v>
      </c>
      <c r="I74" s="12">
        <f t="shared" si="2"/>
        <v>9.5173532983390513E-2</v>
      </c>
      <c r="J74" s="12">
        <f t="shared" si="3"/>
        <v>0.12172825994271727</v>
      </c>
      <c r="K74" s="12">
        <f t="shared" si="4"/>
        <v>0.12797666467703309</v>
      </c>
      <c r="L74" s="12">
        <f t="shared" si="5"/>
        <v>0.13317941221580151</v>
      </c>
    </row>
    <row r="75" spans="1:12" ht="18" x14ac:dyDescent="0.2">
      <c r="A75" s="2" t="s">
        <v>74</v>
      </c>
      <c r="B75" s="4">
        <v>989.24</v>
      </c>
      <c r="C75" s="4">
        <v>281.36</v>
      </c>
      <c r="D75" s="4">
        <v>686.21</v>
      </c>
      <c r="E75" s="4">
        <v>796</v>
      </c>
      <c r="F75" s="4">
        <v>837.99</v>
      </c>
      <c r="G75" s="6">
        <v>2219.4899999999998</v>
      </c>
      <c r="H75" s="12">
        <f t="shared" si="1"/>
        <v>1.4035358536272883E-2</v>
      </c>
      <c r="I75" s="12">
        <f t="shared" si="2"/>
        <v>3.9919417712241095E-3</v>
      </c>
      <c r="J75" s="12">
        <f t="shared" si="3"/>
        <v>9.7359623359102084E-3</v>
      </c>
      <c r="K75" s="12">
        <f t="shared" si="4"/>
        <v>1.1293665232777904E-2</v>
      </c>
      <c r="L75" s="12">
        <f t="shared" si="5"/>
        <v>1.1889420261828588E-2</v>
      </c>
    </row>
    <row r="76" spans="1:12" ht="18" x14ac:dyDescent="0.2">
      <c r="A76" s="2" t="s">
        <v>75</v>
      </c>
      <c r="B76" s="6">
        <v>3996.87</v>
      </c>
      <c r="C76" s="6">
        <v>2480.09</v>
      </c>
      <c r="D76" s="6">
        <v>3348.62</v>
      </c>
      <c r="E76" s="6">
        <v>3742.91</v>
      </c>
      <c r="F76" s="6">
        <v>4634.59</v>
      </c>
      <c r="G76" s="6">
        <v>5489.99</v>
      </c>
      <c r="H76" s="12">
        <f t="shared" si="1"/>
        <v>5.6707678089111833E-2</v>
      </c>
      <c r="I76" s="12">
        <f t="shared" si="2"/>
        <v>3.5187570612010242E-2</v>
      </c>
      <c r="J76" s="12">
        <f t="shared" si="3"/>
        <v>4.751029305500596E-2</v>
      </c>
      <c r="K76" s="12">
        <f t="shared" si="4"/>
        <v>5.3104488111076313E-2</v>
      </c>
      <c r="L76" s="12">
        <f t="shared" si="5"/>
        <v>6.5755663255251451E-2</v>
      </c>
    </row>
    <row r="77" spans="1:12" ht="18" x14ac:dyDescent="0.2">
      <c r="A77" s="2" t="s">
        <v>76</v>
      </c>
      <c r="B77" s="4">
        <v>368.99</v>
      </c>
      <c r="C77" s="4">
        <v>229.37</v>
      </c>
      <c r="D77" s="4">
        <v>303.02</v>
      </c>
      <c r="E77" s="4">
        <v>332.42</v>
      </c>
      <c r="F77" s="4">
        <v>427.58</v>
      </c>
      <c r="G77" s="4">
        <v>525.29</v>
      </c>
      <c r="H77" s="12">
        <f t="shared" si="1"/>
        <v>5.2352381083451242E-3</v>
      </c>
      <c r="I77" s="12">
        <f t="shared" si="2"/>
        <v>3.2543065256812414E-3</v>
      </c>
      <c r="J77" s="12">
        <f t="shared" si="3"/>
        <v>4.299254320146181E-3</v>
      </c>
      <c r="K77" s="12">
        <f t="shared" si="4"/>
        <v>4.7163821566332054E-3</v>
      </c>
      <c r="L77" s="12">
        <f t="shared" si="5"/>
        <v>6.0665142967728349E-3</v>
      </c>
    </row>
    <row r="78" spans="1:12" ht="18" x14ac:dyDescent="0.2">
      <c r="A78" s="2" t="s">
        <v>77</v>
      </c>
      <c r="B78" s="6">
        <v>1287.54</v>
      </c>
      <c r="C78" s="4">
        <v>961.18</v>
      </c>
      <c r="D78" s="6">
        <v>1148.67</v>
      </c>
      <c r="E78" s="6">
        <v>1185.93</v>
      </c>
      <c r="F78" s="6">
        <v>1453.12</v>
      </c>
      <c r="G78" s="6">
        <v>1625.12</v>
      </c>
      <c r="H78" s="12">
        <f t="shared" si="1"/>
        <v>1.8267645394234752E-2</v>
      </c>
      <c r="I78" s="12">
        <f t="shared" si="2"/>
        <v>1.3637242648795811E-2</v>
      </c>
      <c r="J78" s="12">
        <f t="shared" si="3"/>
        <v>1.6297354827807784E-2</v>
      </c>
      <c r="K78" s="12">
        <f t="shared" si="4"/>
        <v>1.6826000514457665E-2</v>
      </c>
      <c r="L78" s="12">
        <f t="shared" si="5"/>
        <v>2.0616898018912345E-2</v>
      </c>
    </row>
    <row r="79" spans="1:12" ht="18" x14ac:dyDescent="0.2">
      <c r="A79" s="2" t="s">
        <v>78</v>
      </c>
      <c r="B79" s="4">
        <v>46.02</v>
      </c>
      <c r="C79" s="4">
        <v>52.16</v>
      </c>
      <c r="D79" s="4">
        <v>34.81</v>
      </c>
      <c r="E79" s="4">
        <v>29.76</v>
      </c>
      <c r="F79" s="4">
        <v>33.47</v>
      </c>
      <c r="G79" s="4">
        <v>79.94</v>
      </c>
      <c r="H79" s="12">
        <f t="shared" si="1"/>
        <v>6.5293275629703417E-4</v>
      </c>
      <c r="I79" s="12">
        <f t="shared" si="2"/>
        <v>7.400472092232355E-4</v>
      </c>
      <c r="J79" s="12">
        <f t="shared" si="3"/>
        <v>4.9388503360929504E-4</v>
      </c>
      <c r="K79" s="12">
        <f t="shared" si="4"/>
        <v>4.2223552428074178E-4</v>
      </c>
      <c r="L79" s="12">
        <f t="shared" si="5"/>
        <v>4.7487308459934229E-4</v>
      </c>
    </row>
    <row r="80" spans="1:12" ht="18" x14ac:dyDescent="0.2">
      <c r="A80" s="2" t="s">
        <v>79</v>
      </c>
      <c r="B80" s="6">
        <v>1493.18</v>
      </c>
      <c r="C80" s="4">
        <v>783.67</v>
      </c>
      <c r="D80" s="6">
        <v>1226.82</v>
      </c>
      <c r="E80" s="6">
        <v>1485.22</v>
      </c>
      <c r="F80" s="6">
        <v>1778.23</v>
      </c>
      <c r="G80" s="6">
        <v>2062.54</v>
      </c>
      <c r="H80" s="12">
        <f t="shared" si="1"/>
        <v>2.1185270166180041E-2</v>
      </c>
      <c r="I80" s="12">
        <f t="shared" si="2"/>
        <v>1.111872692584304E-2</v>
      </c>
      <c r="J80" s="12">
        <f t="shared" si="3"/>
        <v>1.7406148719694207E-2</v>
      </c>
      <c r="K80" s="12">
        <f t="shared" si="4"/>
        <v>2.1072333513852261E-2</v>
      </c>
      <c r="L80" s="12">
        <f t="shared" si="5"/>
        <v>2.5229565737289766E-2</v>
      </c>
    </row>
    <row r="81" spans="1:12" ht="18" x14ac:dyDescent="0.2">
      <c r="A81" s="2" t="s">
        <v>80</v>
      </c>
      <c r="B81" s="4">
        <v>194.11</v>
      </c>
      <c r="C81" s="4">
        <v>201.01</v>
      </c>
      <c r="D81" s="4">
        <v>201.25</v>
      </c>
      <c r="E81" s="4">
        <v>179.79</v>
      </c>
      <c r="F81" s="4">
        <v>182.11</v>
      </c>
      <c r="G81" s="4">
        <v>207.87</v>
      </c>
      <c r="H81" s="12">
        <f t="shared" si="1"/>
        <v>2.7540368823297978E-3</v>
      </c>
      <c r="I81" s="12">
        <f t="shared" si="2"/>
        <v>2.8519342317094051E-3</v>
      </c>
      <c r="J81" s="12">
        <f t="shared" si="3"/>
        <v>2.8553393569052178E-3</v>
      </c>
      <c r="K81" s="12">
        <f t="shared" si="4"/>
        <v>2.5508644123129892E-3</v>
      </c>
      <c r="L81" s="12">
        <f t="shared" si="5"/>
        <v>2.5837806225391764E-3</v>
      </c>
    </row>
    <row r="82" spans="1:12" ht="18" x14ac:dyDescent="0.2">
      <c r="A82" s="2" t="s">
        <v>81</v>
      </c>
      <c r="B82" s="6">
        <v>1299.07</v>
      </c>
      <c r="C82" s="4">
        <v>582.66999999999996</v>
      </c>
      <c r="D82" s="6">
        <v>1025.57</v>
      </c>
      <c r="E82" s="6">
        <v>1305.43</v>
      </c>
      <c r="F82" s="6">
        <v>1596.12</v>
      </c>
      <c r="G82" s="6">
        <v>1854.67</v>
      </c>
      <c r="H82" s="12">
        <f t="shared" si="1"/>
        <v>1.843123328385024E-2</v>
      </c>
      <c r="I82" s="12">
        <f t="shared" si="2"/>
        <v>8.2669345743501266E-3</v>
      </c>
      <c r="J82" s="12">
        <f t="shared" si="3"/>
        <v>1.4550809362788988E-2</v>
      </c>
      <c r="K82" s="12">
        <f t="shared" si="4"/>
        <v>1.8521469101539272E-2</v>
      </c>
      <c r="L82" s="12">
        <f t="shared" si="5"/>
        <v>2.2645785114750589E-2</v>
      </c>
    </row>
    <row r="83" spans="1:12" ht="18" x14ac:dyDescent="0.2">
      <c r="A83" s="2" t="s">
        <v>82</v>
      </c>
      <c r="B83" s="4">
        <v>801.14</v>
      </c>
      <c r="C83" s="4">
        <v>453.71</v>
      </c>
      <c r="D83" s="4">
        <v>635.29999999999995</v>
      </c>
      <c r="E83" s="4">
        <v>709.57</v>
      </c>
      <c r="F83" s="4">
        <v>942.2</v>
      </c>
      <c r="G83" s="6">
        <v>1197.0999999999999</v>
      </c>
      <c r="H83" s="12">
        <f t="shared" si="1"/>
        <v>1.1366591664054888E-2</v>
      </c>
      <c r="I83" s="12">
        <f t="shared" si="2"/>
        <v>6.4372473024669127E-3</v>
      </c>
      <c r="J83" s="12">
        <f t="shared" si="3"/>
        <v>9.0136501537484946E-3</v>
      </c>
      <c r="K83" s="12">
        <f t="shared" si="4"/>
        <v>1.0067394521635952E-2</v>
      </c>
      <c r="L83" s="12">
        <f t="shared" si="5"/>
        <v>1.3367953997893646E-2</v>
      </c>
    </row>
    <row r="84" spans="1:12" ht="18" x14ac:dyDescent="0.2">
      <c r="A84" s="2" t="s">
        <v>83</v>
      </c>
      <c r="B84" s="6">
        <v>1932.91</v>
      </c>
      <c r="C84" s="4">
        <v>852.91</v>
      </c>
      <c r="D84" s="6">
        <v>1083.33</v>
      </c>
      <c r="E84" s="6">
        <v>1189.51</v>
      </c>
      <c r="F84" s="6">
        <v>2008.85</v>
      </c>
      <c r="G84" s="6">
        <v>4293.45</v>
      </c>
      <c r="H84" s="12">
        <f t="shared" si="1"/>
        <v>2.742416892599088E-2</v>
      </c>
      <c r="I84" s="12">
        <f t="shared" si="2"/>
        <v>1.2101105544834928E-2</v>
      </c>
      <c r="J84" s="12">
        <f t="shared" si="3"/>
        <v>1.5370309493247847E-2</v>
      </c>
      <c r="K84" s="12">
        <f t="shared" si="4"/>
        <v>1.6876793631961866E-2</v>
      </c>
      <c r="L84" s="12">
        <f t="shared" si="5"/>
        <v>2.8501607290032527E-2</v>
      </c>
    </row>
    <row r="85" spans="1:12" ht="18" x14ac:dyDescent="0.2">
      <c r="A85" s="2" t="s">
        <v>177</v>
      </c>
      <c r="B85" s="4">
        <v>593.48</v>
      </c>
      <c r="C85" s="4">
        <v>159.13</v>
      </c>
      <c r="D85" s="4">
        <v>96.05</v>
      </c>
      <c r="E85" s="4">
        <v>204.54</v>
      </c>
      <c r="F85" s="4">
        <v>700.2</v>
      </c>
      <c r="G85" s="6">
        <v>1697.75</v>
      </c>
      <c r="H85" s="12">
        <f t="shared" si="1"/>
        <v>8.4203070883781799E-3</v>
      </c>
      <c r="I85" s="12">
        <f t="shared" si="2"/>
        <v>2.2577398850401357E-3</v>
      </c>
      <c r="J85" s="12">
        <f t="shared" si="3"/>
        <v>1.3627594794074344E-3</v>
      </c>
      <c r="K85" s="12">
        <f t="shared" si="4"/>
        <v>2.9020179481311463E-3</v>
      </c>
      <c r="L85" s="12">
        <f t="shared" si="5"/>
        <v>9.9344527587827761E-3</v>
      </c>
    </row>
    <row r="86" spans="1:12" ht="18" x14ac:dyDescent="0.2">
      <c r="A86" s="2" t="s">
        <v>85</v>
      </c>
      <c r="B86" s="6">
        <v>1339.44</v>
      </c>
      <c r="C86" s="4">
        <v>693.78</v>
      </c>
      <c r="D86" s="4">
        <v>987.28</v>
      </c>
      <c r="E86" s="4">
        <v>984.97</v>
      </c>
      <c r="F86" s="6">
        <v>1308.6500000000001</v>
      </c>
      <c r="G86" s="6">
        <v>2595.71</v>
      </c>
      <c r="H86" s="12">
        <f t="shared" si="1"/>
        <v>1.9004003717829194E-2</v>
      </c>
      <c r="I86" s="12">
        <f t="shared" si="2"/>
        <v>9.8433656597947915E-3</v>
      </c>
      <c r="J86" s="12">
        <f t="shared" si="3"/>
        <v>1.4007550013840414E-2</v>
      </c>
      <c r="K86" s="12">
        <f t="shared" si="4"/>
        <v>1.397477568383072E-2</v>
      </c>
      <c r="L86" s="12">
        <f t="shared" si="5"/>
        <v>1.8567154531249755E-2</v>
      </c>
    </row>
    <row r="87" spans="1:12" ht="18" x14ac:dyDescent="0.2">
      <c r="A87" s="2" t="s">
        <v>86</v>
      </c>
      <c r="B87" s="4">
        <v>695.22</v>
      </c>
      <c r="C87" s="4">
        <v>416.54</v>
      </c>
      <c r="D87" s="4">
        <v>541.49</v>
      </c>
      <c r="E87" s="4">
        <v>661.59</v>
      </c>
      <c r="F87" s="4">
        <v>749.72</v>
      </c>
      <c r="G87" s="6">
        <v>1049.73</v>
      </c>
      <c r="H87" s="12">
        <f t="shared" si="1"/>
        <v>9.8637964109696673E-3</v>
      </c>
      <c r="I87" s="12">
        <f t="shared" si="2"/>
        <v>5.9098785377654627E-3</v>
      </c>
      <c r="J87" s="12">
        <f t="shared" si="3"/>
        <v>7.6826718428353114E-3</v>
      </c>
      <c r="K87" s="12">
        <f t="shared" si="4"/>
        <v>9.3866532429064502E-3</v>
      </c>
      <c r="L87" s="12">
        <f t="shared" si="5"/>
        <v>1.0637043590852074E-2</v>
      </c>
    </row>
    <row r="88" spans="1:12" ht="18" x14ac:dyDescent="0.2">
      <c r="A88" s="2" t="s">
        <v>87</v>
      </c>
      <c r="B88" s="4">
        <v>193</v>
      </c>
      <c r="C88" s="4">
        <v>118.26</v>
      </c>
      <c r="D88" s="4">
        <v>173.67</v>
      </c>
      <c r="E88" s="4">
        <v>177.5</v>
      </c>
      <c r="F88" s="4">
        <v>163.34</v>
      </c>
      <c r="G88" s="4">
        <v>317.97000000000003</v>
      </c>
      <c r="H88" s="12">
        <f t="shared" si="1"/>
        <v>2.7382881782991651E-3</v>
      </c>
      <c r="I88" s="12">
        <f t="shared" si="2"/>
        <v>1.6778754402365767E-3</v>
      </c>
      <c r="J88" s="12">
        <f t="shared" si="3"/>
        <v>2.464033719819772E-3</v>
      </c>
      <c r="K88" s="12">
        <f t="shared" si="4"/>
        <v>2.5183738427362792E-3</v>
      </c>
      <c r="L88" s="12">
        <f t="shared" si="5"/>
        <v>2.3174714561833456E-3</v>
      </c>
    </row>
    <row r="89" spans="1:12" ht="18" x14ac:dyDescent="0.2">
      <c r="A89" s="2" t="s">
        <v>89</v>
      </c>
      <c r="B89" s="4">
        <v>361.64</v>
      </c>
      <c r="C89" s="4">
        <v>167.57</v>
      </c>
      <c r="D89" s="4">
        <v>261.56</v>
      </c>
      <c r="E89" s="4">
        <v>367.35</v>
      </c>
      <c r="F89" s="4">
        <v>439.7</v>
      </c>
      <c r="G89" s="4">
        <v>535.14</v>
      </c>
      <c r="H89" s="12">
        <f t="shared" si="1"/>
        <v>5.1309561492233688E-3</v>
      </c>
      <c r="I89" s="12">
        <f t="shared" si="2"/>
        <v>2.3774867877595393E-3</v>
      </c>
      <c r="J89" s="12">
        <f t="shared" si="3"/>
        <v>3.711018942569584E-3</v>
      </c>
      <c r="K89" s="12">
        <f t="shared" si="4"/>
        <v>5.2119697528404067E-3</v>
      </c>
      <c r="L89" s="12">
        <f t="shared" si="5"/>
        <v>6.2384731191613627E-3</v>
      </c>
    </row>
    <row r="90" spans="1:12" ht="18" x14ac:dyDescent="0.2">
      <c r="A90" s="2" t="s">
        <v>90</v>
      </c>
      <c r="B90" s="4">
        <v>140.57</v>
      </c>
      <c r="C90" s="4">
        <v>130.72</v>
      </c>
      <c r="D90" s="4">
        <v>106.26</v>
      </c>
      <c r="E90" s="4">
        <v>116.74</v>
      </c>
      <c r="F90" s="4">
        <v>146.68</v>
      </c>
      <c r="G90" s="4">
        <v>196.62</v>
      </c>
      <c r="H90" s="12">
        <f t="shared" si="1"/>
        <v>1.9944102032306405E-3</v>
      </c>
      <c r="I90" s="12">
        <f t="shared" si="2"/>
        <v>1.8546581899858388E-3</v>
      </c>
      <c r="J90" s="12">
        <f t="shared" si="3"/>
        <v>1.507619180445955E-3</v>
      </c>
      <c r="K90" s="12">
        <f t="shared" si="4"/>
        <v>1.6563096473297646E-3</v>
      </c>
      <c r="L90" s="12">
        <f t="shared" si="5"/>
        <v>2.0810990155073657E-3</v>
      </c>
    </row>
    <row r="91" spans="1:12" ht="18" x14ac:dyDescent="0.2">
      <c r="A91" s="2" t="s">
        <v>91</v>
      </c>
      <c r="B91" s="6">
        <v>1958.85</v>
      </c>
      <c r="C91" s="4">
        <v>681.31</v>
      </c>
      <c r="D91" s="6">
        <v>1347.72</v>
      </c>
      <c r="E91" s="6">
        <v>1271.93</v>
      </c>
      <c r="F91" s="6">
        <v>2104.1799999999998</v>
      </c>
      <c r="G91" s="6">
        <v>4128.33</v>
      </c>
      <c r="H91" s="12">
        <f t="shared" si="1"/>
        <v>2.7792206207571606E-2</v>
      </c>
      <c r="I91" s="12">
        <f t="shared" si="2"/>
        <v>9.6664410298290364E-3</v>
      </c>
      <c r="J91" s="12">
        <f t="shared" si="3"/>
        <v>1.912148053708472E-2</v>
      </c>
      <c r="K91" s="12">
        <f t="shared" si="4"/>
        <v>1.8046170376290454E-2</v>
      </c>
      <c r="L91" s="12">
        <f t="shared" si="5"/>
        <v>2.9854151393852526E-2</v>
      </c>
    </row>
    <row r="92" spans="1:12" ht="18" x14ac:dyDescent="0.2">
      <c r="A92" s="2" t="s">
        <v>92</v>
      </c>
      <c r="B92" s="4">
        <v>129.33000000000001</v>
      </c>
      <c r="C92" s="4">
        <v>56.78</v>
      </c>
      <c r="D92" s="4">
        <v>97.96</v>
      </c>
      <c r="E92" s="4">
        <v>60.84</v>
      </c>
      <c r="F92" s="4">
        <v>174.55</v>
      </c>
      <c r="G92" s="4">
        <v>240.92</v>
      </c>
      <c r="H92" s="12">
        <f t="shared" si="1"/>
        <v>1.8349368398934253E-3</v>
      </c>
      <c r="I92" s="12">
        <f t="shared" si="2"/>
        <v>8.0559586924262491E-4</v>
      </c>
      <c r="J92" s="12">
        <f t="shared" si="3"/>
        <v>1.3898586007574415E-3</v>
      </c>
      <c r="K92" s="12">
        <f t="shared" si="4"/>
        <v>8.6319923713845193E-4</v>
      </c>
      <c r="L92" s="12">
        <f t="shared" si="5"/>
        <v>2.4765191788710846E-3</v>
      </c>
    </row>
    <row r="93" spans="1:12" ht="18" x14ac:dyDescent="0.2">
      <c r="A93" s="2" t="s">
        <v>93</v>
      </c>
      <c r="B93" s="4">
        <v>490</v>
      </c>
      <c r="C93" s="4">
        <v>141.87</v>
      </c>
      <c r="D93" s="4">
        <v>303.82</v>
      </c>
      <c r="E93" s="4">
        <v>285.38</v>
      </c>
      <c r="F93" s="4">
        <v>512.82000000000005</v>
      </c>
      <c r="G93" s="6">
        <v>1137.1400000000001</v>
      </c>
      <c r="H93" s="12">
        <f t="shared" si="1"/>
        <v>6.9521306081170514E-3</v>
      </c>
      <c r="I93" s="12">
        <f t="shared" si="2"/>
        <v>2.012854631374625E-3</v>
      </c>
      <c r="J93" s="12">
        <f t="shared" si="3"/>
        <v>4.3106047374655565E-3</v>
      </c>
      <c r="K93" s="12">
        <f t="shared" si="4"/>
        <v>4.0489776182539676E-3</v>
      </c>
      <c r="L93" s="12">
        <f t="shared" si="5"/>
        <v>7.2759012621522179E-3</v>
      </c>
    </row>
    <row r="94" spans="1:12" ht="18" x14ac:dyDescent="0.2">
      <c r="A94" s="2" t="s">
        <v>94</v>
      </c>
      <c r="B94" s="4">
        <v>24.95</v>
      </c>
      <c r="C94" s="4">
        <v>6.7</v>
      </c>
      <c r="D94" s="4">
        <v>21.35</v>
      </c>
      <c r="E94" s="4">
        <v>8.5500000000000007</v>
      </c>
      <c r="F94" s="4">
        <v>31.8</v>
      </c>
      <c r="G94" s="4">
        <v>52.93</v>
      </c>
      <c r="H94" s="12">
        <f t="shared" si="1"/>
        <v>3.539911401480009E-4</v>
      </c>
      <c r="I94" s="12">
        <f t="shared" si="2"/>
        <v>9.5059745049763772E-5</v>
      </c>
      <c r="J94" s="12">
        <f t="shared" si="3"/>
        <v>3.0291426221081442E-4</v>
      </c>
      <c r="K94" s="12">
        <f t="shared" si="4"/>
        <v>1.2130758510081796E-4</v>
      </c>
      <c r="L94" s="12">
        <f t="shared" si="5"/>
        <v>4.5117908844514743E-4</v>
      </c>
    </row>
    <row r="95" spans="1:12" ht="18" x14ac:dyDescent="0.2">
      <c r="A95" s="2" t="s">
        <v>95</v>
      </c>
      <c r="B95" s="4">
        <v>292.76</v>
      </c>
      <c r="C95" s="4">
        <v>81.16</v>
      </c>
      <c r="D95" s="4">
        <v>229.03</v>
      </c>
      <c r="E95" s="4">
        <v>200.03</v>
      </c>
      <c r="F95" s="4">
        <v>359.17</v>
      </c>
      <c r="G95" s="4">
        <v>555.19000000000005</v>
      </c>
      <c r="H95" s="12">
        <f t="shared" si="1"/>
        <v>4.1536852180252002E-3</v>
      </c>
      <c r="I95" s="12">
        <f t="shared" si="2"/>
        <v>1.1514998370505713E-3</v>
      </c>
      <c r="J95" s="12">
        <f t="shared" si="3"/>
        <v>3.249482598320507E-3</v>
      </c>
      <c r="K95" s="12">
        <f t="shared" si="4"/>
        <v>2.8380299704931712E-3</v>
      </c>
      <c r="L95" s="12">
        <f t="shared" si="5"/>
        <v>5.0959117357497995E-3</v>
      </c>
    </row>
    <row r="96" spans="1:12" ht="18" x14ac:dyDescent="0.2">
      <c r="A96" s="2" t="s">
        <v>178</v>
      </c>
      <c r="B96" s="4">
        <v>108.59</v>
      </c>
      <c r="C96" s="4">
        <v>53.95</v>
      </c>
      <c r="D96" s="4">
        <v>118.18</v>
      </c>
      <c r="E96" s="4">
        <v>88.24</v>
      </c>
      <c r="F96" s="4">
        <v>110.6</v>
      </c>
      <c r="G96" s="4">
        <v>164.7</v>
      </c>
      <c r="H96" s="12">
        <f t="shared" si="1"/>
        <v>1.5406772708886341E-3</v>
      </c>
      <c r="I96" s="12">
        <f t="shared" si="2"/>
        <v>7.6544376797533663E-4</v>
      </c>
      <c r="J96" s="12">
        <f t="shared" si="3"/>
        <v>1.6767403985046391E-3</v>
      </c>
      <c r="K96" s="12">
        <f t="shared" si="4"/>
        <v>1.251951030327038E-3</v>
      </c>
      <c r="L96" s="12">
        <f t="shared" si="5"/>
        <v>1.5691951944035631E-3</v>
      </c>
    </row>
    <row r="97" spans="1:12" ht="18" x14ac:dyDescent="0.2">
      <c r="A97" s="2" t="s">
        <v>97</v>
      </c>
      <c r="B97" s="4">
        <v>913.23</v>
      </c>
      <c r="C97" s="4">
        <v>340.85</v>
      </c>
      <c r="D97" s="4">
        <v>577.38</v>
      </c>
      <c r="E97" s="4">
        <v>628.89</v>
      </c>
      <c r="F97" s="4">
        <v>915.24</v>
      </c>
      <c r="G97" s="6">
        <v>1977.45</v>
      </c>
      <c r="H97" s="12">
        <f t="shared" si="1"/>
        <v>1.2956927010715786E-2</v>
      </c>
      <c r="I97" s="12">
        <f t="shared" si="2"/>
        <v>4.8359871791361165E-3</v>
      </c>
      <c r="J97" s="12">
        <f t="shared" si="3"/>
        <v>8.1918799398257615E-3</v>
      </c>
      <c r="K97" s="12">
        <f t="shared" si="4"/>
        <v>8.9227049349770056E-3</v>
      </c>
      <c r="L97" s="12">
        <f t="shared" si="5"/>
        <v>1.2985444934230716E-2</v>
      </c>
    </row>
    <row r="98" spans="1:12" ht="18" x14ac:dyDescent="0.2">
      <c r="A98" s="1"/>
      <c r="H98" s="12">
        <f t="shared" si="1"/>
        <v>0</v>
      </c>
      <c r="I98" s="12">
        <f t="shared" si="2"/>
        <v>0</v>
      </c>
      <c r="J98" s="12">
        <f t="shared" si="3"/>
        <v>0</v>
      </c>
      <c r="K98" s="12">
        <f t="shared" si="4"/>
        <v>0</v>
      </c>
      <c r="L98" s="12">
        <f t="shared" si="5"/>
        <v>0</v>
      </c>
    </row>
    <row r="99" spans="1:12" ht="18" x14ac:dyDescent="0.2">
      <c r="A99" s="2" t="s">
        <v>98</v>
      </c>
      <c r="B99" s="6">
        <v>1977.22</v>
      </c>
      <c r="C99" s="4">
        <v>764.16</v>
      </c>
      <c r="D99" s="6">
        <v>1492.85</v>
      </c>
      <c r="E99" s="6">
        <v>1801.36</v>
      </c>
      <c r="F99" s="6">
        <v>2157.15</v>
      </c>
      <c r="G99" s="6">
        <v>3444.78</v>
      </c>
      <c r="H99" s="12">
        <f t="shared" si="1"/>
        <v>2.805284016526775E-2</v>
      </c>
      <c r="I99" s="12">
        <f t="shared" si="2"/>
        <v>1.0841918623466788E-2</v>
      </c>
      <c r="J99" s="12">
        <f t="shared" si="3"/>
        <v>2.1180588119035795E-2</v>
      </c>
      <c r="K99" s="12">
        <f t="shared" si="4"/>
        <v>2.5557734678036188E-2</v>
      </c>
      <c r="L99" s="12">
        <f t="shared" si="5"/>
        <v>3.0605690900611632E-2</v>
      </c>
    </row>
    <row r="100" spans="1:12" ht="18" x14ac:dyDescent="0.2">
      <c r="A100" s="2" t="s">
        <v>99</v>
      </c>
      <c r="B100" s="4">
        <v>518.15</v>
      </c>
      <c r="C100" s="4">
        <v>170.04</v>
      </c>
      <c r="D100" s="4">
        <v>454.48</v>
      </c>
      <c r="E100" s="4">
        <v>394.13</v>
      </c>
      <c r="F100" s="4">
        <v>561.38</v>
      </c>
      <c r="G100" s="4">
        <v>951.29</v>
      </c>
      <c r="H100" s="12">
        <f t="shared" si="1"/>
        <v>7.3515234175425513E-3</v>
      </c>
      <c r="I100" s="12">
        <f t="shared" si="2"/>
        <v>2.412531201233109E-3</v>
      </c>
      <c r="J100" s="12">
        <f t="shared" si="3"/>
        <v>6.448172079136812E-3</v>
      </c>
      <c r="K100" s="12">
        <f t="shared" si="4"/>
        <v>5.591924972606477E-3</v>
      </c>
      <c r="L100" s="12">
        <f t="shared" si="5"/>
        <v>7.9648715934382656E-3</v>
      </c>
    </row>
    <row r="101" spans="1:12" ht="18" x14ac:dyDescent="0.2">
      <c r="A101" s="2" t="s">
        <v>100</v>
      </c>
      <c r="B101" s="4">
        <v>422.47</v>
      </c>
      <c r="C101" s="4">
        <v>129.97999999999999</v>
      </c>
      <c r="D101" s="4">
        <v>372.21</v>
      </c>
      <c r="E101" s="4">
        <v>293.25</v>
      </c>
      <c r="F101" s="4">
        <v>471.44</v>
      </c>
      <c r="G101" s="4">
        <v>795.47</v>
      </c>
      <c r="H101" s="12">
        <f t="shared" si="1"/>
        <v>5.9940135061453291E-3</v>
      </c>
      <c r="I101" s="12">
        <f t="shared" si="2"/>
        <v>1.8441590539654169E-3</v>
      </c>
      <c r="J101" s="12">
        <f t="shared" si="3"/>
        <v>5.2809235380556077E-3</v>
      </c>
      <c r="K101" s="12">
        <f t="shared" si="4"/>
        <v>4.1606373486333175E-3</v>
      </c>
      <c r="L101" s="12">
        <f t="shared" si="5"/>
        <v>6.6888009263075567E-3</v>
      </c>
    </row>
    <row r="102" spans="1:12" ht="18" x14ac:dyDescent="0.2">
      <c r="A102" s="2" t="s">
        <v>101</v>
      </c>
      <c r="B102" s="4">
        <v>95.68</v>
      </c>
      <c r="C102" s="4">
        <v>40.06</v>
      </c>
      <c r="D102" s="4">
        <v>82.27</v>
      </c>
      <c r="E102" s="4">
        <v>100.88</v>
      </c>
      <c r="F102" s="4">
        <v>89.94</v>
      </c>
      <c r="G102" s="4">
        <v>155.82</v>
      </c>
      <c r="H102" s="12">
        <f t="shared" si="1"/>
        <v>1.3575099113972235E-3</v>
      </c>
      <c r="I102" s="12">
        <f t="shared" si="2"/>
        <v>5.6837214726769211E-4</v>
      </c>
      <c r="J102" s="12">
        <f t="shared" si="3"/>
        <v>1.1672485410812038E-3</v>
      </c>
      <c r="K102" s="12">
        <f t="shared" si="4"/>
        <v>1.4312876239731594E-3</v>
      </c>
      <c r="L102" s="12">
        <f t="shared" si="5"/>
        <v>1.2760706671307094E-3</v>
      </c>
    </row>
    <row r="103" spans="1:12" ht="18" x14ac:dyDescent="0.2">
      <c r="A103" s="2" t="s">
        <v>102</v>
      </c>
      <c r="B103" s="4">
        <v>702.09</v>
      </c>
      <c r="C103" s="4">
        <v>255.24</v>
      </c>
      <c r="D103" s="4">
        <v>393.77</v>
      </c>
      <c r="E103" s="4">
        <v>709.08</v>
      </c>
      <c r="F103" s="4">
        <v>721.2</v>
      </c>
      <c r="G103" s="6">
        <v>1334.1</v>
      </c>
      <c r="H103" s="12">
        <f t="shared" ref="H103:H151" si="6">B103/$B$37</f>
        <v>9.9612681196997975E-3</v>
      </c>
      <c r="I103" s="12">
        <f t="shared" ref="I103:I151" si="7">C103/$B$37</f>
        <v>3.6213506457465233E-3</v>
      </c>
      <c r="J103" s="12">
        <f t="shared" ref="J103:J151" si="8">D103/$B$37</f>
        <v>5.5868172848127576E-3</v>
      </c>
      <c r="K103" s="12">
        <f t="shared" ref="K103:K151" si="9">E103/$B$37</f>
        <v>1.0060442391027836E-2</v>
      </c>
      <c r="L103" s="12">
        <f t="shared" ref="L103:L151" si="10">F103/$B$37</f>
        <v>1.0232401213416363E-2</v>
      </c>
    </row>
    <row r="104" spans="1:12" ht="18" x14ac:dyDescent="0.2">
      <c r="A104" s="2" t="s">
        <v>103</v>
      </c>
      <c r="B104" s="4">
        <v>595.33000000000004</v>
      </c>
      <c r="C104" s="4">
        <v>231.64</v>
      </c>
      <c r="D104" s="4">
        <v>336.97</v>
      </c>
      <c r="E104" s="4">
        <v>589.76</v>
      </c>
      <c r="F104" s="4">
        <v>584.12</v>
      </c>
      <c r="G104" s="6">
        <v>1153.44</v>
      </c>
      <c r="H104" s="12">
        <f t="shared" si="6"/>
        <v>8.4465549284292347E-3</v>
      </c>
      <c r="I104" s="12">
        <f t="shared" si="7"/>
        <v>3.2865133348249668E-3</v>
      </c>
      <c r="J104" s="12">
        <f t="shared" si="8"/>
        <v>4.7809376551371493E-3</v>
      </c>
      <c r="K104" s="12">
        <f t="shared" si="9"/>
        <v>8.3675276478430861E-3</v>
      </c>
      <c r="L104" s="12">
        <f t="shared" si="10"/>
        <v>8.2875072057414945E-3</v>
      </c>
    </row>
    <row r="105" spans="1:12" ht="18" x14ac:dyDescent="0.2">
      <c r="A105" s="2" t="s">
        <v>104</v>
      </c>
      <c r="B105" s="4">
        <v>106.76</v>
      </c>
      <c r="C105" s="4">
        <v>23.6</v>
      </c>
      <c r="D105" s="4">
        <v>56.8</v>
      </c>
      <c r="E105" s="4">
        <v>119.32</v>
      </c>
      <c r="F105" s="4">
        <v>137.08000000000001</v>
      </c>
      <c r="G105" s="4">
        <v>180.66</v>
      </c>
      <c r="H105" s="12">
        <f t="shared" si="6"/>
        <v>1.5147131912705643E-3</v>
      </c>
      <c r="I105" s="12">
        <f t="shared" si="7"/>
        <v>3.3483731092155596E-4</v>
      </c>
      <c r="J105" s="12">
        <f t="shared" si="8"/>
        <v>8.0587962967560919E-4</v>
      </c>
      <c r="K105" s="12">
        <f t="shared" si="9"/>
        <v>1.6929147431847481E-3</v>
      </c>
      <c r="L105" s="12">
        <f t="shared" si="10"/>
        <v>1.9448940076748685E-3</v>
      </c>
    </row>
    <row r="106" spans="1:12" ht="18" x14ac:dyDescent="0.2">
      <c r="A106" s="2" t="s">
        <v>105</v>
      </c>
      <c r="B106" s="4">
        <v>87.34</v>
      </c>
      <c r="C106" s="4">
        <v>47.45</v>
      </c>
      <c r="D106" s="4">
        <v>36.299999999999997</v>
      </c>
      <c r="E106" s="4">
        <v>113.56</v>
      </c>
      <c r="F106" s="4">
        <v>115.25</v>
      </c>
      <c r="G106" s="4">
        <v>114.72</v>
      </c>
      <c r="H106" s="12">
        <f t="shared" si="6"/>
        <v>1.2391818108427415E-3</v>
      </c>
      <c r="I106" s="12">
        <f t="shared" si="7"/>
        <v>6.7322162725541655E-4</v>
      </c>
      <c r="J106" s="12">
        <f t="shared" si="8"/>
        <v>5.1502518586663058E-4</v>
      </c>
      <c r="K106" s="12">
        <f t="shared" si="9"/>
        <v>1.6111917384852498E-3</v>
      </c>
      <c r="L106" s="12">
        <f t="shared" si="10"/>
        <v>1.6351694950724289E-3</v>
      </c>
    </row>
    <row r="107" spans="1:12" ht="18" x14ac:dyDescent="0.2">
      <c r="A107" s="2" t="s">
        <v>106</v>
      </c>
      <c r="B107" s="4">
        <v>434.55</v>
      </c>
      <c r="C107" s="4">
        <v>169.54</v>
      </c>
      <c r="D107" s="4">
        <v>420.37</v>
      </c>
      <c r="E107" s="4">
        <v>421.34</v>
      </c>
      <c r="F107" s="4">
        <v>554.58000000000004</v>
      </c>
      <c r="G107" s="4">
        <v>568.75</v>
      </c>
      <c r="H107" s="12">
        <f t="shared" si="6"/>
        <v>6.1654048076678876E-3</v>
      </c>
      <c r="I107" s="12">
        <f t="shared" si="7"/>
        <v>2.4054371904085E-3</v>
      </c>
      <c r="J107" s="12">
        <f t="shared" si="8"/>
        <v>5.9642186606819695E-3</v>
      </c>
      <c r="K107" s="12">
        <f t="shared" si="9"/>
        <v>5.9779810416817113E-3</v>
      </c>
      <c r="L107" s="12">
        <f t="shared" si="10"/>
        <v>7.8683930462235818E-3</v>
      </c>
    </row>
    <row r="108" spans="1:12" ht="18" x14ac:dyDescent="0.2">
      <c r="A108" s="2" t="s">
        <v>107</v>
      </c>
      <c r="B108" s="4">
        <v>235.1</v>
      </c>
      <c r="C108" s="4">
        <v>121.89</v>
      </c>
      <c r="D108" s="4">
        <v>187.93</v>
      </c>
      <c r="E108" s="4">
        <v>163.25</v>
      </c>
      <c r="F108" s="4">
        <v>204.73</v>
      </c>
      <c r="G108" s="4">
        <v>475.93</v>
      </c>
      <c r="H108" s="12">
        <f t="shared" si="6"/>
        <v>3.335603889731263E-3</v>
      </c>
      <c r="I108" s="12">
        <f t="shared" si="7"/>
        <v>1.7293779588232396E-3</v>
      </c>
      <c r="J108" s="12">
        <f t="shared" si="8"/>
        <v>2.6663549085376276E-3</v>
      </c>
      <c r="K108" s="12">
        <f t="shared" si="9"/>
        <v>2.3161945342349156E-3</v>
      </c>
      <c r="L108" s="12">
        <f t="shared" si="10"/>
        <v>2.9047136722444977E-3</v>
      </c>
    </row>
    <row r="109" spans="1:12" ht="18" x14ac:dyDescent="0.2">
      <c r="A109" s="1"/>
      <c r="H109" s="12">
        <f t="shared" si="6"/>
        <v>0</v>
      </c>
      <c r="I109" s="12">
        <f t="shared" si="7"/>
        <v>0</v>
      </c>
      <c r="J109" s="12">
        <f t="shared" si="8"/>
        <v>0</v>
      </c>
      <c r="K109" s="12">
        <f t="shared" si="9"/>
        <v>0</v>
      </c>
      <c r="L109" s="12">
        <f t="shared" si="10"/>
        <v>0</v>
      </c>
    </row>
    <row r="110" spans="1:12" ht="18" x14ac:dyDescent="0.2">
      <c r="A110" s="2" t="s">
        <v>108</v>
      </c>
      <c r="B110" s="6">
        <v>10276.02</v>
      </c>
      <c r="C110" s="6">
        <v>4552.18</v>
      </c>
      <c r="D110" s="6">
        <v>6460.96</v>
      </c>
      <c r="E110" s="6">
        <v>8894.18</v>
      </c>
      <c r="F110" s="6">
        <v>12040.54</v>
      </c>
      <c r="G110" s="6">
        <v>18249.91</v>
      </c>
      <c r="H110" s="12">
        <f t="shared" si="6"/>
        <v>0.14579639422780202</v>
      </c>
      <c r="I110" s="12">
        <f t="shared" si="7"/>
        <v>6.4586428391139358E-2</v>
      </c>
      <c r="J110" s="12">
        <f t="shared" si="8"/>
        <v>9.1668240354734587E-2</v>
      </c>
      <c r="K110" s="12">
        <f t="shared" si="9"/>
        <v>0.12619081839204596</v>
      </c>
      <c r="L110" s="12">
        <f t="shared" si="10"/>
        <v>0.170831442188281</v>
      </c>
    </row>
    <row r="111" spans="1:12" ht="18" x14ac:dyDescent="0.2">
      <c r="A111" s="2" t="s">
        <v>109</v>
      </c>
      <c r="B111" s="6">
        <v>3416.88</v>
      </c>
      <c r="C111" s="6">
        <v>1417.59</v>
      </c>
      <c r="D111" s="6">
        <v>1524.03</v>
      </c>
      <c r="E111" s="6">
        <v>3001.32</v>
      </c>
      <c r="F111" s="6">
        <v>3986.4</v>
      </c>
      <c r="G111" s="6">
        <v>6706.18</v>
      </c>
      <c r="H111" s="12">
        <f t="shared" si="6"/>
        <v>4.847876741278162E-2</v>
      </c>
      <c r="I111" s="12">
        <f t="shared" si="7"/>
        <v>2.0112797609715613E-2</v>
      </c>
      <c r="J111" s="12">
        <f t="shared" si="8"/>
        <v>2.1622970634058429E-2</v>
      </c>
      <c r="K111" s="12">
        <f t="shared" si="9"/>
        <v>4.2582793136232387E-2</v>
      </c>
      <c r="L111" s="12">
        <f t="shared" si="10"/>
        <v>5.6559129502444523E-2</v>
      </c>
    </row>
    <row r="112" spans="1:12" ht="18" x14ac:dyDescent="0.2">
      <c r="A112" s="2" t="s">
        <v>110</v>
      </c>
      <c r="B112" s="6">
        <v>1457.51</v>
      </c>
      <c r="C112" s="4">
        <v>831.63</v>
      </c>
      <c r="D112" s="4">
        <v>670.14</v>
      </c>
      <c r="E112" s="4">
        <v>967.71</v>
      </c>
      <c r="F112" s="6">
        <v>1504.46</v>
      </c>
      <c r="G112" s="6">
        <v>3154.62</v>
      </c>
      <c r="H112" s="12">
        <f t="shared" si="6"/>
        <v>2.0679183433952416E-2</v>
      </c>
      <c r="I112" s="12">
        <f t="shared" si="7"/>
        <v>1.1799184444139559E-2</v>
      </c>
      <c r="J112" s="12">
        <f t="shared" si="8"/>
        <v>9.507960828007268E-3</v>
      </c>
      <c r="K112" s="12">
        <f t="shared" si="9"/>
        <v>1.3729890430165209E-2</v>
      </c>
      <c r="L112" s="12">
        <f t="shared" si="10"/>
        <v>2.1345311050383224E-2</v>
      </c>
    </row>
    <row r="113" spans="1:12" ht="18" x14ac:dyDescent="0.2">
      <c r="A113" s="2" t="s">
        <v>111</v>
      </c>
      <c r="B113" s="6">
        <v>1881.82</v>
      </c>
      <c r="C113" s="4">
        <v>578.67999999999995</v>
      </c>
      <c r="D113" s="4">
        <v>821.32</v>
      </c>
      <c r="E113" s="6">
        <v>1868.02</v>
      </c>
      <c r="F113" s="6">
        <v>2472.08</v>
      </c>
      <c r="G113" s="6">
        <v>3388.94</v>
      </c>
      <c r="H113" s="12">
        <f t="shared" si="6"/>
        <v>2.6699302899932307E-2</v>
      </c>
      <c r="I113" s="12">
        <f t="shared" si="7"/>
        <v>8.2103243679697447E-3</v>
      </c>
      <c r="J113" s="12">
        <f t="shared" si="8"/>
        <v>1.1652905940936117E-2</v>
      </c>
      <c r="K113" s="12">
        <f t="shared" si="9"/>
        <v>2.6503508201173091E-2</v>
      </c>
      <c r="L113" s="12">
        <f t="shared" si="10"/>
        <v>3.5073924558599999E-2</v>
      </c>
    </row>
    <row r="114" spans="1:12" ht="18" x14ac:dyDescent="0.2">
      <c r="A114" s="2" t="s">
        <v>112</v>
      </c>
      <c r="B114" s="4">
        <v>77.56</v>
      </c>
      <c r="C114" s="4">
        <v>7.28</v>
      </c>
      <c r="D114" s="4">
        <v>32.56</v>
      </c>
      <c r="E114" s="4">
        <v>165.59</v>
      </c>
      <c r="F114" s="4">
        <v>9.86</v>
      </c>
      <c r="G114" s="4">
        <v>162.62</v>
      </c>
      <c r="H114" s="12">
        <f t="shared" si="6"/>
        <v>1.1004229591133848E-3</v>
      </c>
      <c r="I114" s="12">
        <f t="shared" si="7"/>
        <v>1.0328879760631048E-4</v>
      </c>
      <c r="J114" s="12">
        <f t="shared" si="8"/>
        <v>4.6196198489855349E-4</v>
      </c>
      <c r="K114" s="12">
        <f t="shared" si="9"/>
        <v>2.3493945048940869E-3</v>
      </c>
      <c r="L114" s="12">
        <f t="shared" si="10"/>
        <v>1.3989389346129414E-4</v>
      </c>
    </row>
    <row r="115" spans="1:12" ht="18" x14ac:dyDescent="0.2">
      <c r="A115" s="2" t="s">
        <v>113</v>
      </c>
      <c r="B115" s="6">
        <v>2631.39</v>
      </c>
      <c r="C115" s="6">
        <v>1390.56</v>
      </c>
      <c r="D115" s="6">
        <v>2171.85</v>
      </c>
      <c r="E115" s="6">
        <v>2473.37</v>
      </c>
      <c r="F115" s="6">
        <v>3196.44</v>
      </c>
      <c r="G115" s="6">
        <v>3694.06</v>
      </c>
      <c r="H115" s="12">
        <f t="shared" si="6"/>
        <v>3.7334218287536997E-2</v>
      </c>
      <c r="I115" s="12">
        <f t="shared" si="7"/>
        <v>1.972929538453724E-2</v>
      </c>
      <c r="J115" s="12">
        <f t="shared" si="8"/>
        <v>3.0814254818855139E-2</v>
      </c>
      <c r="K115" s="12">
        <f t="shared" si="9"/>
        <v>3.5092227106527492E-2</v>
      </c>
      <c r="L115" s="12">
        <f t="shared" si="10"/>
        <v>4.5351159920427896E-2</v>
      </c>
    </row>
    <row r="116" spans="1:12" ht="18" x14ac:dyDescent="0.2">
      <c r="A116" s="2" t="s">
        <v>115</v>
      </c>
      <c r="B116" s="6">
        <v>3196.08</v>
      </c>
      <c r="C116" s="6">
        <v>1321.53</v>
      </c>
      <c r="D116" s="6">
        <v>2117.71</v>
      </c>
      <c r="E116" s="6">
        <v>2646.83</v>
      </c>
      <c r="F116" s="6">
        <v>3611.67</v>
      </c>
      <c r="G116" s="6">
        <v>5907.61</v>
      </c>
      <c r="H116" s="12">
        <f t="shared" si="6"/>
        <v>4.5346052232634174E-2</v>
      </c>
      <c r="I116" s="12">
        <f t="shared" si="7"/>
        <v>1.8749896250091689E-2</v>
      </c>
      <c r="J116" s="12">
        <f t="shared" si="8"/>
        <v>3.0046115326766452E-2</v>
      </c>
      <c r="K116" s="12">
        <f t="shared" si="9"/>
        <v>3.7553281341800929E-2</v>
      </c>
      <c r="L116" s="12">
        <f t="shared" si="10"/>
        <v>5.1242452149832883E-2</v>
      </c>
    </row>
    <row r="117" spans="1:12" ht="18" x14ac:dyDescent="0.2">
      <c r="A117" s="2" t="s">
        <v>116</v>
      </c>
      <c r="B117" s="4">
        <v>194.71</v>
      </c>
      <c r="C117" s="4">
        <v>49.64</v>
      </c>
      <c r="D117" s="4">
        <v>113.15</v>
      </c>
      <c r="E117" s="4">
        <v>192.53</v>
      </c>
      <c r="F117" s="4">
        <v>278.29000000000002</v>
      </c>
      <c r="G117" s="4">
        <v>310.89999999999998</v>
      </c>
      <c r="H117" s="12">
        <f t="shared" si="6"/>
        <v>2.762549695319329E-3</v>
      </c>
      <c r="I117" s="12">
        <f t="shared" si="7"/>
        <v>7.0429339466720499E-4</v>
      </c>
      <c r="J117" s="12">
        <f t="shared" si="8"/>
        <v>1.6053746496090702E-3</v>
      </c>
      <c r="K117" s="12">
        <f t="shared" si="9"/>
        <v>2.7316198081240328E-3</v>
      </c>
      <c r="L117" s="12">
        <f t="shared" si="10"/>
        <v>3.948384544761009E-3</v>
      </c>
    </row>
    <row r="118" spans="1:12" ht="18" x14ac:dyDescent="0.2">
      <c r="A118" s="2" t="s">
        <v>117</v>
      </c>
      <c r="B118" s="4">
        <v>862.84</v>
      </c>
      <c r="C118" s="4">
        <v>452.67</v>
      </c>
      <c r="D118" s="4">
        <v>696.21</v>
      </c>
      <c r="E118" s="4">
        <v>749.52</v>
      </c>
      <c r="F118" s="4">
        <v>896.71</v>
      </c>
      <c r="G118" s="6">
        <v>1442.84</v>
      </c>
      <c r="H118" s="12">
        <f t="shared" si="6"/>
        <v>1.2241992599811667E-2</v>
      </c>
      <c r="I118" s="12">
        <f t="shared" si="7"/>
        <v>6.4224917599517263E-3</v>
      </c>
      <c r="J118" s="12">
        <f t="shared" si="8"/>
        <v>9.8778425524023942E-3</v>
      </c>
      <c r="K118" s="12">
        <f t="shared" si="9"/>
        <v>1.0634205986522229E-2</v>
      </c>
      <c r="L118" s="12">
        <f t="shared" si="10"/>
        <v>1.2722540893070698E-2</v>
      </c>
    </row>
    <row r="119" spans="1:12" ht="18" x14ac:dyDescent="0.2">
      <c r="A119" s="2" t="s">
        <v>119</v>
      </c>
      <c r="B119" s="6">
        <v>1318.91</v>
      </c>
      <c r="C119" s="4">
        <v>507</v>
      </c>
      <c r="D119" s="4">
        <v>976.76</v>
      </c>
      <c r="E119" s="6">
        <v>1110.21</v>
      </c>
      <c r="F119" s="6">
        <v>1587.99</v>
      </c>
      <c r="G119" s="6">
        <v>2257</v>
      </c>
      <c r="H119" s="12">
        <f t="shared" si="6"/>
        <v>1.8712723633370738E-2</v>
      </c>
      <c r="I119" s="12">
        <f t="shared" si="7"/>
        <v>7.1933269761537662E-3</v>
      </c>
      <c r="J119" s="12">
        <f t="shared" si="8"/>
        <v>1.3858292026090636E-2</v>
      </c>
      <c r="K119" s="12">
        <f t="shared" si="9"/>
        <v>1.5751683515178843E-2</v>
      </c>
      <c r="L119" s="12">
        <f t="shared" si="10"/>
        <v>2.2530436498742444E-2</v>
      </c>
    </row>
    <row r="120" spans="1:12" ht="18" x14ac:dyDescent="0.2">
      <c r="A120" s="2" t="s">
        <v>118</v>
      </c>
      <c r="B120" s="4">
        <v>819.63</v>
      </c>
      <c r="C120" s="4">
        <v>312.22000000000003</v>
      </c>
      <c r="D120" s="4">
        <v>331.58</v>
      </c>
      <c r="E120" s="4">
        <v>594.57000000000005</v>
      </c>
      <c r="F120" s="4">
        <v>848.68</v>
      </c>
      <c r="G120" s="6">
        <v>1896.86</v>
      </c>
      <c r="H120" s="12">
        <f t="shared" si="6"/>
        <v>1.1628928184348937E-2</v>
      </c>
      <c r="I120" s="12">
        <f t="shared" si="7"/>
        <v>4.4297841193189922E-3</v>
      </c>
      <c r="J120" s="12">
        <f t="shared" si="8"/>
        <v>4.7044642184478607E-3</v>
      </c>
      <c r="K120" s="12">
        <f t="shared" si="9"/>
        <v>8.4357720319758276E-3</v>
      </c>
      <c r="L120" s="12">
        <f t="shared" si="10"/>
        <v>1.2041090213258733E-2</v>
      </c>
    </row>
    <row r="121" spans="1:12" ht="18" x14ac:dyDescent="0.2">
      <c r="A121" s="2" t="s">
        <v>120</v>
      </c>
      <c r="B121" s="6">
        <v>1031.67</v>
      </c>
      <c r="C121" s="4">
        <v>422.51</v>
      </c>
      <c r="D121" s="4">
        <v>647.39</v>
      </c>
      <c r="E121" s="4">
        <v>772.66</v>
      </c>
      <c r="F121" s="6">
        <v>1246.03</v>
      </c>
      <c r="G121" s="6">
        <v>1942.05</v>
      </c>
      <c r="H121" s="12">
        <f t="shared" si="6"/>
        <v>1.4637356294849224E-2</v>
      </c>
      <c r="I121" s="12">
        <f t="shared" si="7"/>
        <v>5.9945810270112965E-3</v>
      </c>
      <c r="J121" s="12">
        <f t="shared" si="8"/>
        <v>9.185183335487547E-3</v>
      </c>
      <c r="K121" s="12">
        <f t="shared" si="9"/>
        <v>1.0962516807485145E-2</v>
      </c>
      <c r="L121" s="12">
        <f t="shared" si="10"/>
        <v>1.7678700615575693E-2</v>
      </c>
    </row>
    <row r="122" spans="1:12" ht="18" x14ac:dyDescent="0.2">
      <c r="A122" s="1"/>
      <c r="H122" s="12">
        <f t="shared" si="6"/>
        <v>0</v>
      </c>
      <c r="I122" s="12">
        <f t="shared" si="7"/>
        <v>0</v>
      </c>
      <c r="J122" s="12">
        <f t="shared" si="8"/>
        <v>0</v>
      </c>
      <c r="K122" s="12">
        <f t="shared" si="9"/>
        <v>0</v>
      </c>
      <c r="L122" s="12">
        <f t="shared" si="10"/>
        <v>0</v>
      </c>
    </row>
    <row r="123" spans="1:12" ht="18" x14ac:dyDescent="0.2">
      <c r="A123" s="2" t="s">
        <v>121</v>
      </c>
      <c r="B123" s="6">
        <v>4772.67</v>
      </c>
      <c r="C123" s="6">
        <v>2783.25</v>
      </c>
      <c r="D123" s="6">
        <v>3794.25</v>
      </c>
      <c r="E123" s="6">
        <v>4423.49</v>
      </c>
      <c r="F123" s="6">
        <v>5142.76</v>
      </c>
      <c r="G123" s="6">
        <v>7343.67</v>
      </c>
      <c r="H123" s="12">
        <f t="shared" si="6"/>
        <v>6.7714745284575537E-2</v>
      </c>
      <c r="I123" s="12">
        <f t="shared" si="7"/>
        <v>3.9488811255187314E-2</v>
      </c>
      <c r="J123" s="12">
        <f t="shared" si="8"/>
        <v>5.3832901142547192E-2</v>
      </c>
      <c r="K123" s="12">
        <f t="shared" si="9"/>
        <v>6.2760571885101424E-2</v>
      </c>
      <c r="L123" s="12">
        <f t="shared" si="10"/>
        <v>7.2965590216734794E-2</v>
      </c>
    </row>
    <row r="124" spans="1:12" ht="18" x14ac:dyDescent="0.2">
      <c r="A124" s="2" t="s">
        <v>122</v>
      </c>
      <c r="B124" s="6">
        <v>3353.96</v>
      </c>
      <c r="C124" s="6">
        <v>1993.49</v>
      </c>
      <c r="D124" s="6">
        <v>2708.71</v>
      </c>
      <c r="E124" s="6">
        <v>3091.22</v>
      </c>
      <c r="F124" s="6">
        <v>3723.36</v>
      </c>
      <c r="G124" s="6">
        <v>4994.2299999999996</v>
      </c>
      <c r="H124" s="12">
        <f t="shared" si="6"/>
        <v>4.7586057090612789E-2</v>
      </c>
      <c r="I124" s="12">
        <f t="shared" si="7"/>
        <v>2.8283679277500536E-2</v>
      </c>
      <c r="J124" s="12">
        <f t="shared" si="8"/>
        <v>3.8431236121454569E-2</v>
      </c>
      <c r="K124" s="12">
        <f t="shared" si="9"/>
        <v>4.3858296282497128E-2</v>
      </c>
      <c r="L124" s="12">
        <f t="shared" si="10"/>
        <v>5.2827112287834092E-2</v>
      </c>
    </row>
    <row r="125" spans="1:12" ht="18" x14ac:dyDescent="0.2">
      <c r="A125" s="2" t="s">
        <v>123</v>
      </c>
      <c r="B125" s="4">
        <v>851.38</v>
      </c>
      <c r="C125" s="4">
        <v>413.59</v>
      </c>
      <c r="D125" s="4">
        <v>580.47</v>
      </c>
      <c r="E125" s="4">
        <v>777.99</v>
      </c>
      <c r="F125" s="4">
        <v>855.03</v>
      </c>
      <c r="G125" s="6">
        <v>1545.08</v>
      </c>
      <c r="H125" s="12">
        <f t="shared" si="6"/>
        <v>1.2079397871711623E-2</v>
      </c>
      <c r="I125" s="12">
        <f t="shared" si="7"/>
        <v>5.8680238739002681E-3</v>
      </c>
      <c r="J125" s="12">
        <f t="shared" si="8"/>
        <v>8.235720926721847E-3</v>
      </c>
      <c r="K125" s="12">
        <f t="shared" si="9"/>
        <v>1.103813896287548E-2</v>
      </c>
      <c r="L125" s="12">
        <f t="shared" si="10"/>
        <v>1.2131184150731271E-2</v>
      </c>
    </row>
    <row r="126" spans="1:12" ht="18" x14ac:dyDescent="0.2">
      <c r="A126" s="2" t="s">
        <v>124</v>
      </c>
      <c r="B126" s="4">
        <v>409.5</v>
      </c>
      <c r="C126" s="4">
        <v>265.89</v>
      </c>
      <c r="D126" s="4">
        <v>391.56</v>
      </c>
      <c r="E126" s="4">
        <v>374.26</v>
      </c>
      <c r="F126" s="4">
        <v>418.79</v>
      </c>
      <c r="G126" s="4">
        <v>574.35</v>
      </c>
      <c r="H126" s="12">
        <f t="shared" si="6"/>
        <v>5.8099948653549645E-3</v>
      </c>
      <c r="I126" s="12">
        <f t="shared" si="7"/>
        <v>3.7724530763106998E-3</v>
      </c>
      <c r="J126" s="12">
        <f t="shared" si="8"/>
        <v>5.5554617569679851E-3</v>
      </c>
      <c r="K126" s="12">
        <f t="shared" si="9"/>
        <v>5.310008982436506E-3</v>
      </c>
      <c r="L126" s="12">
        <f t="shared" si="10"/>
        <v>5.9418015864762044E-3</v>
      </c>
    </row>
    <row r="127" spans="1:12" ht="18" x14ac:dyDescent="0.2">
      <c r="A127" s="2" t="s">
        <v>125</v>
      </c>
      <c r="B127" s="4">
        <v>157.83000000000001</v>
      </c>
      <c r="C127" s="4">
        <v>110.27</v>
      </c>
      <c r="D127" s="4">
        <v>113.52</v>
      </c>
      <c r="E127" s="4">
        <v>180.02</v>
      </c>
      <c r="F127" s="4">
        <v>145.59</v>
      </c>
      <c r="G127" s="4">
        <v>230.01</v>
      </c>
      <c r="H127" s="12">
        <f t="shared" si="6"/>
        <v>2.2392954568961516E-3</v>
      </c>
      <c r="I127" s="12">
        <f t="shared" si="7"/>
        <v>1.5645131472593211E-3</v>
      </c>
      <c r="J127" s="12">
        <f t="shared" si="8"/>
        <v>1.6106242176192811E-3</v>
      </c>
      <c r="K127" s="12">
        <f t="shared" si="9"/>
        <v>2.5541276572923098E-3</v>
      </c>
      <c r="L127" s="12">
        <f t="shared" si="10"/>
        <v>2.0656340719097175E-3</v>
      </c>
    </row>
    <row r="128" spans="1:12" ht="18" x14ac:dyDescent="0.2">
      <c r="A128" s="1"/>
      <c r="H128" s="12">
        <f t="shared" si="6"/>
        <v>0</v>
      </c>
      <c r="I128" s="12">
        <f t="shared" si="7"/>
        <v>0</v>
      </c>
      <c r="J128" s="12">
        <f t="shared" si="8"/>
        <v>0</v>
      </c>
      <c r="K128" s="12">
        <f t="shared" si="9"/>
        <v>0</v>
      </c>
      <c r="L128" s="12">
        <f t="shared" si="10"/>
        <v>0</v>
      </c>
    </row>
    <row r="129" spans="1:12" ht="18" x14ac:dyDescent="0.2">
      <c r="A129" s="2" t="s">
        <v>126</v>
      </c>
      <c r="B129" s="6">
        <v>3289.25</v>
      </c>
      <c r="C129" s="6">
        <v>1263.1099999999999</v>
      </c>
      <c r="D129" s="6">
        <v>1890.3</v>
      </c>
      <c r="E129" s="6">
        <v>2610.39</v>
      </c>
      <c r="F129" s="6">
        <v>3617.97</v>
      </c>
      <c r="G129" s="6">
        <v>6634.68</v>
      </c>
      <c r="H129" s="12">
        <f t="shared" si="6"/>
        <v>4.6667950209691861E-2</v>
      </c>
      <c r="I129" s="12">
        <f t="shared" si="7"/>
        <v>1.7921032025344345E-2</v>
      </c>
      <c r="J129" s="12">
        <f t="shared" si="8"/>
        <v>2.6819617323517678E-2</v>
      </c>
      <c r="K129" s="12">
        <f t="shared" si="9"/>
        <v>3.703626983290341E-2</v>
      </c>
      <c r="L129" s="12">
        <f t="shared" si="10"/>
        <v>5.1331836686222959E-2</v>
      </c>
    </row>
    <row r="130" spans="1:12" ht="18" x14ac:dyDescent="0.2">
      <c r="A130" s="2" t="s">
        <v>127</v>
      </c>
      <c r="B130" s="4">
        <v>997.98</v>
      </c>
      <c r="C130" s="4">
        <v>341.42</v>
      </c>
      <c r="D130" s="4">
        <v>407.85</v>
      </c>
      <c r="E130" s="4">
        <v>554.61</v>
      </c>
      <c r="F130" s="6">
        <v>1179.6099999999999</v>
      </c>
      <c r="G130" s="6">
        <v>2349.75</v>
      </c>
      <c r="H130" s="12">
        <f t="shared" si="6"/>
        <v>1.4159361845487052E-2</v>
      </c>
      <c r="I130" s="12">
        <f t="shared" si="7"/>
        <v>4.8440743514761714E-3</v>
      </c>
      <c r="J130" s="12">
        <f t="shared" si="8"/>
        <v>5.7865846296337549E-3</v>
      </c>
      <c r="K130" s="12">
        <f t="shared" si="9"/>
        <v>7.8688186868730581E-3</v>
      </c>
      <c r="L130" s="12">
        <f t="shared" si="10"/>
        <v>1.6736332217634601E-2</v>
      </c>
    </row>
    <row r="131" spans="1:12" ht="18" x14ac:dyDescent="0.2">
      <c r="A131" s="2" t="s">
        <v>128</v>
      </c>
      <c r="B131" s="6">
        <v>1013.09</v>
      </c>
      <c r="C131" s="4">
        <v>570.16</v>
      </c>
      <c r="D131" s="4">
        <v>803.16</v>
      </c>
      <c r="E131" s="4">
        <v>796.61</v>
      </c>
      <c r="F131" s="6">
        <v>1189.48</v>
      </c>
      <c r="G131" s="6">
        <v>1617.79</v>
      </c>
      <c r="H131" s="12">
        <f t="shared" si="6"/>
        <v>1.4373742852606744E-2</v>
      </c>
      <c r="I131" s="12">
        <f t="shared" si="7"/>
        <v>8.0894424235184049E-3</v>
      </c>
      <c r="J131" s="12">
        <f t="shared" si="8"/>
        <v>1.1395251467786308E-2</v>
      </c>
      <c r="K131" s="12">
        <f t="shared" si="9"/>
        <v>1.1302319925983928E-2</v>
      </c>
      <c r="L131" s="12">
        <f t="shared" si="10"/>
        <v>1.687636799131239E-2</v>
      </c>
    </row>
    <row r="132" spans="1:12" ht="18" x14ac:dyDescent="0.2">
      <c r="A132" s="2" t="s">
        <v>129</v>
      </c>
      <c r="B132" s="4">
        <v>948.79</v>
      </c>
      <c r="C132" s="4">
        <v>298.11</v>
      </c>
      <c r="D132" s="4">
        <v>571.75</v>
      </c>
      <c r="E132" s="6">
        <v>1112.28</v>
      </c>
      <c r="F132" s="4">
        <v>953.29</v>
      </c>
      <c r="G132" s="6">
        <v>1683.52</v>
      </c>
      <c r="H132" s="12">
        <f t="shared" si="6"/>
        <v>1.3461453060561995E-2</v>
      </c>
      <c r="I132" s="12">
        <f t="shared" si="7"/>
        <v>4.2295911338485195E-3</v>
      </c>
      <c r="J132" s="12">
        <f t="shared" si="8"/>
        <v>8.112001377940662E-3</v>
      </c>
      <c r="K132" s="12">
        <f t="shared" si="9"/>
        <v>1.5781052719992722E-2</v>
      </c>
      <c r="L132" s="12">
        <f t="shared" si="10"/>
        <v>1.3525299157983478E-2</v>
      </c>
    </row>
    <row r="133" spans="1:12" ht="18" x14ac:dyDescent="0.2">
      <c r="A133" s="2" t="s">
        <v>130</v>
      </c>
      <c r="B133" s="4">
        <v>822.74</v>
      </c>
      <c r="C133" s="4">
        <v>277.23</v>
      </c>
      <c r="D133" s="4">
        <v>452.35</v>
      </c>
      <c r="E133" s="6">
        <v>1025.6099999999999</v>
      </c>
      <c r="F133" s="4">
        <v>789.13</v>
      </c>
      <c r="G133" s="6">
        <v>1461.27</v>
      </c>
      <c r="H133" s="12">
        <f t="shared" si="6"/>
        <v>1.1673052931678007E-2</v>
      </c>
      <c r="I133" s="12">
        <f t="shared" si="7"/>
        <v>3.9333452418128375E-3</v>
      </c>
      <c r="J133" s="12">
        <f t="shared" si="8"/>
        <v>6.417951593023977E-3</v>
      </c>
      <c r="K133" s="12">
        <f t="shared" si="9"/>
        <v>1.4551376883654956E-2</v>
      </c>
      <c r="L133" s="12">
        <f t="shared" si="10"/>
        <v>1.1196193524047774E-2</v>
      </c>
    </row>
    <row r="134" spans="1:12" ht="18" x14ac:dyDescent="0.2">
      <c r="A134" s="2" t="s">
        <v>131</v>
      </c>
      <c r="B134" s="4">
        <v>126.04</v>
      </c>
      <c r="C134" s="4">
        <v>20.88</v>
      </c>
      <c r="D134" s="4">
        <v>119.4</v>
      </c>
      <c r="E134" s="4">
        <v>86.67</v>
      </c>
      <c r="F134" s="4">
        <v>164.16</v>
      </c>
      <c r="G134" s="4">
        <v>222.25</v>
      </c>
      <c r="H134" s="12">
        <f t="shared" si="6"/>
        <v>1.7882582486674964E-3</v>
      </c>
      <c r="I134" s="12">
        <f t="shared" si="7"/>
        <v>2.962458920356817E-4</v>
      </c>
      <c r="J134" s="12">
        <f t="shared" si="8"/>
        <v>1.6940497849166857E-3</v>
      </c>
      <c r="K134" s="12">
        <f t="shared" si="9"/>
        <v>1.2296758363377651E-3</v>
      </c>
      <c r="L134" s="12">
        <f t="shared" si="10"/>
        <v>2.3291056339357044E-3</v>
      </c>
    </row>
    <row r="135" spans="1:12" ht="18" x14ac:dyDescent="0.2">
      <c r="A135" s="2" t="s">
        <v>132</v>
      </c>
      <c r="B135" s="4">
        <v>329.4</v>
      </c>
      <c r="C135" s="4">
        <v>53.41</v>
      </c>
      <c r="D135" s="4">
        <v>107.54</v>
      </c>
      <c r="E135" s="4">
        <v>146.88999999999999</v>
      </c>
      <c r="F135" s="4">
        <v>295.60000000000002</v>
      </c>
      <c r="G135" s="4">
        <v>983.62</v>
      </c>
      <c r="H135" s="12">
        <f t="shared" si="6"/>
        <v>4.6735343312525645E-3</v>
      </c>
      <c r="I135" s="12">
        <f t="shared" si="7"/>
        <v>7.5778223628475861E-4</v>
      </c>
      <c r="J135" s="12">
        <f t="shared" si="8"/>
        <v>1.5257798481569547E-3</v>
      </c>
      <c r="K135" s="12">
        <f t="shared" si="9"/>
        <v>2.0840785000537012E-3</v>
      </c>
      <c r="L135" s="12">
        <f t="shared" si="10"/>
        <v>4.193979199508981E-3</v>
      </c>
    </row>
    <row r="136" spans="1:12" ht="18" x14ac:dyDescent="0.2">
      <c r="A136" s="1"/>
      <c r="H136" s="12">
        <f t="shared" si="6"/>
        <v>0</v>
      </c>
      <c r="I136" s="12">
        <f t="shared" si="7"/>
        <v>0</v>
      </c>
      <c r="J136" s="12">
        <f t="shared" si="8"/>
        <v>0</v>
      </c>
      <c r="K136" s="12">
        <f t="shared" si="9"/>
        <v>0</v>
      </c>
      <c r="L136" s="12">
        <f t="shared" si="10"/>
        <v>0</v>
      </c>
    </row>
    <row r="137" spans="1:12" ht="18" x14ac:dyDescent="0.2">
      <c r="A137" s="2" t="s">
        <v>133</v>
      </c>
      <c r="B137" s="4">
        <v>862.24</v>
      </c>
      <c r="C137" s="4">
        <v>398.79</v>
      </c>
      <c r="D137" s="4">
        <v>599.83000000000004</v>
      </c>
      <c r="E137" s="4">
        <v>822.12</v>
      </c>
      <c r="F137" s="4">
        <v>996.44</v>
      </c>
      <c r="G137" s="6">
        <v>1403.69</v>
      </c>
      <c r="H137" s="12">
        <f t="shared" si="6"/>
        <v>1.2233479786822137E-2</v>
      </c>
      <c r="I137" s="12">
        <f t="shared" si="7"/>
        <v>5.6580411534918355E-3</v>
      </c>
      <c r="J137" s="12">
        <f t="shared" si="8"/>
        <v>8.5104010258507164E-3</v>
      </c>
      <c r="K137" s="12">
        <f t="shared" si="9"/>
        <v>1.1664256358255491E-2</v>
      </c>
      <c r="L137" s="12">
        <f t="shared" si="10"/>
        <v>1.4137512292147256E-2</v>
      </c>
    </row>
    <row r="138" spans="1:12" ht="18" x14ac:dyDescent="0.2">
      <c r="A138" s="1"/>
      <c r="H138" s="12">
        <f t="shared" si="6"/>
        <v>0</v>
      </c>
      <c r="I138" s="12">
        <f t="shared" si="7"/>
        <v>0</v>
      </c>
      <c r="J138" s="12">
        <f t="shared" si="8"/>
        <v>0</v>
      </c>
      <c r="K138" s="12">
        <f t="shared" si="9"/>
        <v>0</v>
      </c>
      <c r="L138" s="12">
        <f t="shared" si="10"/>
        <v>0</v>
      </c>
    </row>
    <row r="139" spans="1:12" ht="18" x14ac:dyDescent="0.2">
      <c r="A139" s="2" t="s">
        <v>134</v>
      </c>
      <c r="B139" s="4">
        <v>91.87</v>
      </c>
      <c r="C139" s="4">
        <v>58.83</v>
      </c>
      <c r="D139" s="4">
        <v>83.14</v>
      </c>
      <c r="E139" s="4">
        <v>69.78</v>
      </c>
      <c r="F139" s="4">
        <v>94.69</v>
      </c>
      <c r="G139" s="4">
        <v>146.68</v>
      </c>
      <c r="H139" s="12">
        <f t="shared" si="6"/>
        <v>1.3034535489137012E-3</v>
      </c>
      <c r="I139" s="12">
        <f t="shared" si="7"/>
        <v>8.3468131362352275E-4</v>
      </c>
      <c r="J139" s="12">
        <f t="shared" si="8"/>
        <v>1.1795921199160239E-3</v>
      </c>
      <c r="K139" s="12">
        <f t="shared" si="9"/>
        <v>9.9004015068246496E-4</v>
      </c>
      <c r="L139" s="12">
        <f t="shared" si="10"/>
        <v>1.3434637699644971E-3</v>
      </c>
    </row>
    <row r="140" spans="1:12" ht="18" x14ac:dyDescent="0.2">
      <c r="A140" s="1"/>
      <c r="H140" s="12">
        <f t="shared" si="6"/>
        <v>0</v>
      </c>
      <c r="I140" s="12">
        <f t="shared" si="7"/>
        <v>0</v>
      </c>
      <c r="J140" s="12">
        <f t="shared" si="8"/>
        <v>0</v>
      </c>
      <c r="K140" s="12">
        <f t="shared" si="9"/>
        <v>0</v>
      </c>
      <c r="L140" s="12">
        <f t="shared" si="10"/>
        <v>0</v>
      </c>
    </row>
    <row r="141" spans="1:12" ht="18" x14ac:dyDescent="0.2">
      <c r="A141" s="2" t="s">
        <v>135</v>
      </c>
      <c r="B141" s="6">
        <v>1546.93</v>
      </c>
      <c r="C141" s="4">
        <v>490.83</v>
      </c>
      <c r="D141" s="4">
        <v>509.46</v>
      </c>
      <c r="E141" s="4">
        <v>982.43</v>
      </c>
      <c r="F141" s="6">
        <v>1070.03</v>
      </c>
      <c r="G141" s="6">
        <v>4454.8500000000004</v>
      </c>
      <c r="H141" s="12">
        <f t="shared" si="6"/>
        <v>2.1947876329825533E-2</v>
      </c>
      <c r="I141" s="12">
        <f t="shared" si="7"/>
        <v>6.9639066660859032E-3</v>
      </c>
      <c r="J141" s="12">
        <f t="shared" si="8"/>
        <v>7.2282295094108426E-3</v>
      </c>
      <c r="K141" s="12">
        <f t="shared" si="9"/>
        <v>1.3938738108841704E-2</v>
      </c>
      <c r="L141" s="12">
        <f t="shared" si="10"/>
        <v>1.5181608805313242E-2</v>
      </c>
    </row>
    <row r="142" spans="1:12" ht="18" x14ac:dyDescent="0.2">
      <c r="A142" s="1"/>
      <c r="H142" s="12">
        <f t="shared" si="6"/>
        <v>0</v>
      </c>
      <c r="I142" s="12">
        <f t="shared" si="7"/>
        <v>0</v>
      </c>
      <c r="J142" s="12">
        <f t="shared" si="8"/>
        <v>0</v>
      </c>
      <c r="K142" s="12">
        <f t="shared" si="9"/>
        <v>0</v>
      </c>
      <c r="L142" s="12">
        <f t="shared" si="10"/>
        <v>0</v>
      </c>
    </row>
    <row r="143" spans="1:12" ht="18" x14ac:dyDescent="0.2">
      <c r="A143" s="2" t="s">
        <v>136</v>
      </c>
      <c r="B143" s="4">
        <v>190.82</v>
      </c>
      <c r="C143" s="4">
        <v>187.62</v>
      </c>
      <c r="D143" s="4">
        <v>219.27</v>
      </c>
      <c r="E143" s="4">
        <v>178.54</v>
      </c>
      <c r="F143" s="4">
        <v>227.48</v>
      </c>
      <c r="G143" s="4">
        <v>141.09</v>
      </c>
      <c r="H143" s="12">
        <f t="shared" si="6"/>
        <v>2.7073582911038689E-3</v>
      </c>
      <c r="I143" s="12">
        <f t="shared" si="7"/>
        <v>2.66195662182637E-3</v>
      </c>
      <c r="J143" s="12">
        <f t="shared" si="8"/>
        <v>3.1110075070241348E-3</v>
      </c>
      <c r="K143" s="12">
        <f t="shared" si="9"/>
        <v>2.533129385251466E-3</v>
      </c>
      <c r="L143" s="12">
        <f t="shared" si="10"/>
        <v>3.2274911647642182E-3</v>
      </c>
    </row>
    <row r="144" spans="1:12" ht="18" x14ac:dyDescent="0.2">
      <c r="A144" s="1"/>
      <c r="H144" s="12">
        <f t="shared" si="6"/>
        <v>0</v>
      </c>
      <c r="I144" s="12">
        <f t="shared" si="7"/>
        <v>0</v>
      </c>
      <c r="J144" s="12">
        <f t="shared" si="8"/>
        <v>0</v>
      </c>
      <c r="K144" s="12">
        <f t="shared" si="9"/>
        <v>0</v>
      </c>
      <c r="L144" s="12">
        <f t="shared" si="10"/>
        <v>0</v>
      </c>
    </row>
    <row r="145" spans="1:12" ht="18" x14ac:dyDescent="0.2">
      <c r="A145" s="2" t="s">
        <v>137</v>
      </c>
      <c r="B145" s="4">
        <v>807.39</v>
      </c>
      <c r="C145" s="4">
        <v>415.32</v>
      </c>
      <c r="D145" s="4">
        <v>641.59</v>
      </c>
      <c r="E145" s="4">
        <v>901.44</v>
      </c>
      <c r="F145" s="4">
        <v>732.24</v>
      </c>
      <c r="G145" s="6">
        <v>1278.4100000000001</v>
      </c>
      <c r="H145" s="12">
        <f t="shared" si="6"/>
        <v>1.1455266799362502E-2</v>
      </c>
      <c r="I145" s="12">
        <f t="shared" si="7"/>
        <v>5.8925691513534162E-3</v>
      </c>
      <c r="J145" s="12">
        <f t="shared" si="8"/>
        <v>9.1028928099220804E-3</v>
      </c>
      <c r="K145" s="12">
        <f t="shared" si="9"/>
        <v>1.2789650235471501E-2</v>
      </c>
      <c r="L145" s="12">
        <f t="shared" si="10"/>
        <v>1.0389036972423734E-2</v>
      </c>
    </row>
    <row r="146" spans="1:12" ht="18" x14ac:dyDescent="0.2">
      <c r="A146" s="1"/>
      <c r="H146" s="12">
        <f t="shared" si="6"/>
        <v>0</v>
      </c>
      <c r="I146" s="12">
        <f t="shared" si="7"/>
        <v>0</v>
      </c>
      <c r="J146" s="12">
        <f t="shared" si="8"/>
        <v>0</v>
      </c>
      <c r="K146" s="12">
        <f t="shared" si="9"/>
        <v>0</v>
      </c>
      <c r="L146" s="12">
        <f t="shared" si="10"/>
        <v>0</v>
      </c>
    </row>
    <row r="147" spans="1:12" ht="18" x14ac:dyDescent="0.2">
      <c r="A147" s="2" t="s">
        <v>138</v>
      </c>
      <c r="B147" s="6">
        <v>2172.81</v>
      </c>
      <c r="C147" s="4">
        <v>513.09</v>
      </c>
      <c r="D147" s="4">
        <v>961.27</v>
      </c>
      <c r="E147" s="6">
        <v>1173.57</v>
      </c>
      <c r="F147" s="6">
        <v>2282.9299999999998</v>
      </c>
      <c r="G147" s="6">
        <v>5580.86</v>
      </c>
      <c r="H147" s="12">
        <f t="shared" si="6"/>
        <v>3.082787531963839E-2</v>
      </c>
      <c r="I147" s="12">
        <f t="shared" si="7"/>
        <v>7.2797320279975068E-3</v>
      </c>
      <c r="J147" s="12">
        <f t="shared" si="8"/>
        <v>1.3638519570744242E-2</v>
      </c>
      <c r="K147" s="12">
        <f t="shared" si="9"/>
        <v>1.6650636566873322E-2</v>
      </c>
      <c r="L147" s="12">
        <f t="shared" si="10"/>
        <v>3.2390260263650328E-2</v>
      </c>
    </row>
    <row r="148" spans="1:12" ht="18" x14ac:dyDescent="0.2">
      <c r="A148" s="1"/>
      <c r="H148" s="12">
        <f t="shared" si="6"/>
        <v>0</v>
      </c>
      <c r="I148" s="12">
        <f t="shared" si="7"/>
        <v>0</v>
      </c>
      <c r="J148" s="12">
        <f t="shared" si="8"/>
        <v>0</v>
      </c>
      <c r="K148" s="12">
        <f t="shared" si="9"/>
        <v>0</v>
      </c>
      <c r="L148" s="12">
        <f t="shared" si="10"/>
        <v>0</v>
      </c>
    </row>
    <row r="149" spans="1:12" ht="18" x14ac:dyDescent="0.2">
      <c r="A149" s="2" t="s">
        <v>139</v>
      </c>
      <c r="B149" s="6">
        <v>8524.7999999999993</v>
      </c>
      <c r="C149" s="4">
        <v>907.75</v>
      </c>
      <c r="D149" s="6">
        <v>2909.68</v>
      </c>
      <c r="E149" s="6">
        <v>5649.54</v>
      </c>
      <c r="F149" s="6">
        <v>10834.77</v>
      </c>
      <c r="G149" s="6">
        <v>20694.28</v>
      </c>
      <c r="H149" s="12">
        <f t="shared" si="6"/>
        <v>0.12095004695525763</v>
      </c>
      <c r="I149" s="12">
        <f t="shared" si="7"/>
        <v>1.2879176652078069E-2</v>
      </c>
      <c r="J149" s="12">
        <f t="shared" si="8"/>
        <v>4.1282602832298003E-2</v>
      </c>
      <c r="K149" s="12">
        <f t="shared" si="9"/>
        <v>8.0155795828125737E-2</v>
      </c>
      <c r="L149" s="12">
        <f t="shared" si="10"/>
        <v>0.15372395132430283</v>
      </c>
    </row>
    <row r="150" spans="1:12" ht="18" x14ac:dyDescent="0.2">
      <c r="A150" s="2" t="s">
        <v>140</v>
      </c>
      <c r="B150" s="4">
        <v>441.24</v>
      </c>
      <c r="C150" s="4">
        <v>107.78</v>
      </c>
      <c r="D150" s="4">
        <v>191.06</v>
      </c>
      <c r="E150" s="4">
        <v>225.69</v>
      </c>
      <c r="F150" s="4">
        <v>508.31</v>
      </c>
      <c r="G150" s="6">
        <v>1100.67</v>
      </c>
      <c r="H150" s="12">
        <f t="shared" si="6"/>
        <v>6.2603226725011594E-3</v>
      </c>
      <c r="I150" s="12">
        <f t="shared" si="7"/>
        <v>1.5291849733527671E-3</v>
      </c>
      <c r="J150" s="12">
        <f t="shared" si="8"/>
        <v>2.7107634162996815E-3</v>
      </c>
      <c r="K150" s="12">
        <f t="shared" si="9"/>
        <v>3.2020946060121172E-3</v>
      </c>
      <c r="L150" s="12">
        <f t="shared" si="10"/>
        <v>7.2119132845142424E-3</v>
      </c>
    </row>
    <row r="151" spans="1:12" ht="18" x14ac:dyDescent="0.2">
      <c r="A151" s="2" t="s">
        <v>141</v>
      </c>
      <c r="B151" s="6">
        <v>8083.56</v>
      </c>
      <c r="C151" s="4">
        <v>799.97</v>
      </c>
      <c r="D151" s="6">
        <v>2718.63</v>
      </c>
      <c r="E151" s="6">
        <v>5423.85</v>
      </c>
      <c r="F151" s="6">
        <v>10326.459999999999</v>
      </c>
      <c r="G151" s="6">
        <v>19593.61</v>
      </c>
      <c r="H151" s="12">
        <f t="shared" si="6"/>
        <v>0.11468972428275649</v>
      </c>
      <c r="I151" s="12">
        <f t="shared" si="7"/>
        <v>1.1349991678725302E-2</v>
      </c>
      <c r="J151" s="12">
        <f t="shared" si="8"/>
        <v>3.8571981296214822E-2</v>
      </c>
      <c r="K151" s="12">
        <f t="shared" si="9"/>
        <v>7.6953701222113619E-2</v>
      </c>
      <c r="L151" s="12">
        <f t="shared" si="10"/>
        <v>0.14651203803978857</v>
      </c>
    </row>
    <row r="152" spans="1:12" ht="18" x14ac:dyDescent="0.2">
      <c r="A152" s="1"/>
    </row>
    <row r="153" spans="1:12" ht="18" x14ac:dyDescent="0.2">
      <c r="A153" s="2" t="s">
        <v>180</v>
      </c>
      <c r="B153" s="4"/>
      <c r="H153" s="13">
        <f>H143+H137+H129+H110+H99+H97+H87+H89+H87+H80+H77+H66</f>
        <v>0.31068362286592649</v>
      </c>
      <c r="I153" s="13">
        <f>I143+I137+I129+I110+I99+I97+I87+I89+I87+I80+I77+I66+I64+I93</f>
        <v>0.16099971070623859</v>
      </c>
      <c r="J153" s="13">
        <f t="shared" ref="I153:L153" si="11">J143+J137+J129+J110+J99+J97+J87+J89+J87+J80+J77+J66</f>
        <v>0.20687923255288332</v>
      </c>
      <c r="K153" s="13">
        <f t="shared" si="11"/>
        <v>0.27056145832431799</v>
      </c>
      <c r="L153" s="13">
        <f t="shared" si="11"/>
        <v>0.35421062884291421</v>
      </c>
    </row>
    <row r="154" spans="1:12" ht="18" x14ac:dyDescent="0.2">
      <c r="A154" s="2" t="s">
        <v>181</v>
      </c>
      <c r="B154" s="6">
        <v>93899.28</v>
      </c>
      <c r="C154" s="6">
        <v>12460.51</v>
      </c>
      <c r="D154" s="6">
        <v>36446.720000000001</v>
      </c>
      <c r="E154" s="6">
        <v>62582.76</v>
      </c>
      <c r="F154" s="6">
        <v>103429.56</v>
      </c>
      <c r="G154" s="6">
        <v>237713.94</v>
      </c>
    </row>
    <row r="155" spans="1:12" ht="18" x14ac:dyDescent="0.2">
      <c r="A155" s="2" t="s">
        <v>143</v>
      </c>
      <c r="B155" s="6">
        <v>74209.47</v>
      </c>
      <c r="C155" s="6">
        <v>3781.19</v>
      </c>
      <c r="D155" s="6">
        <v>23237.4</v>
      </c>
      <c r="E155" s="6">
        <v>47658.82</v>
      </c>
      <c r="F155" s="6">
        <v>82616.679999999993</v>
      </c>
      <c r="G155" s="6">
        <v>199085.98</v>
      </c>
    </row>
    <row r="156" spans="1:12" ht="18" x14ac:dyDescent="0.2">
      <c r="A156" s="2" t="s">
        <v>144</v>
      </c>
      <c r="B156" s="6">
        <v>6962.68</v>
      </c>
      <c r="C156" s="4">
        <v>458.03</v>
      </c>
      <c r="D156" s="6">
        <v>1570.36</v>
      </c>
      <c r="E156" s="6">
        <v>3245.21</v>
      </c>
      <c r="F156" s="6">
        <v>6751.39</v>
      </c>
      <c r="G156" s="6">
        <v>21381.71</v>
      </c>
    </row>
    <row r="157" spans="1:12" ht="18" x14ac:dyDescent="0.2">
      <c r="A157" s="2" t="s">
        <v>145</v>
      </c>
      <c r="B157" s="6">
        <v>8432.9500000000007</v>
      </c>
      <c r="C157" s="6">
        <v>6302.85</v>
      </c>
      <c r="D157" s="6">
        <v>9321.19</v>
      </c>
      <c r="E157" s="6">
        <v>8514.6200000000008</v>
      </c>
      <c r="F157" s="6">
        <v>10021.299999999999</v>
      </c>
      <c r="G157" s="6">
        <v>7720.83</v>
      </c>
    </row>
    <row r="158" spans="1:12" ht="18" x14ac:dyDescent="0.2">
      <c r="A158" s="2" t="s">
        <v>185</v>
      </c>
      <c r="B158" s="6">
        <v>2846.81</v>
      </c>
      <c r="C158" s="4">
        <v>35.25</v>
      </c>
      <c r="D158" s="4">
        <v>617.72</v>
      </c>
      <c r="E158" s="6">
        <v>1745.5</v>
      </c>
      <c r="F158" s="6">
        <v>3193.76</v>
      </c>
      <c r="G158" s="6">
        <v>8041.28</v>
      </c>
    </row>
    <row r="159" spans="1:12" ht="18" x14ac:dyDescent="0.2">
      <c r="A159" s="2" t="s">
        <v>147</v>
      </c>
      <c r="B159" s="4">
        <v>517.08000000000004</v>
      </c>
      <c r="C159" s="6">
        <v>1244</v>
      </c>
      <c r="D159" s="4">
        <v>780.01</v>
      </c>
      <c r="E159" s="4">
        <v>332.56</v>
      </c>
      <c r="F159" s="4">
        <v>162.38</v>
      </c>
      <c r="G159" s="4">
        <v>195.7</v>
      </c>
    </row>
    <row r="160" spans="1:12" ht="18" x14ac:dyDescent="0.2">
      <c r="A160" s="2" t="s">
        <v>148</v>
      </c>
      <c r="B160" s="4">
        <v>501.2</v>
      </c>
      <c r="C160" s="4">
        <v>208.95</v>
      </c>
      <c r="D160" s="4">
        <v>593.47</v>
      </c>
      <c r="E160" s="4">
        <v>539.19000000000005</v>
      </c>
      <c r="F160" s="4">
        <v>482.74</v>
      </c>
      <c r="G160" s="4">
        <v>646.96</v>
      </c>
    </row>
    <row r="161" spans="1:7" ht="18" x14ac:dyDescent="0.2">
      <c r="A161" s="2" t="s">
        <v>149</v>
      </c>
      <c r="B161" s="4">
        <v>429.1</v>
      </c>
      <c r="C161" s="4">
        <v>430.24</v>
      </c>
      <c r="D161" s="4">
        <v>326.58</v>
      </c>
      <c r="E161" s="4">
        <v>546.85</v>
      </c>
      <c r="F161" s="4">
        <v>201.3</v>
      </c>
      <c r="G161" s="4">
        <v>641.49</v>
      </c>
    </row>
    <row r="162" spans="1:7" ht="18" x14ac:dyDescent="0.2">
      <c r="A162" s="1"/>
    </row>
    <row r="163" spans="1:7" ht="18" x14ac:dyDescent="0.2">
      <c r="A16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6313-48A3-7E4A-98B0-20240986EF09}">
  <dimension ref="A1:M161"/>
  <sheetViews>
    <sheetView topLeftCell="A131" workbookViewId="0">
      <selection activeCell="J146" sqref="J146"/>
    </sheetView>
  </sheetViews>
  <sheetFormatPr baseColWidth="10" defaultRowHeight="16" x14ac:dyDescent="0.2"/>
  <cols>
    <col min="1" max="1" width="51.6640625" customWidth="1"/>
    <col min="2" max="2" width="25" customWidth="1"/>
    <col min="3" max="3" width="4.83203125" customWidth="1"/>
    <col min="4" max="4" width="8" customWidth="1"/>
    <col min="5" max="5" width="7" customWidth="1"/>
    <col min="6" max="6" width="7.6640625" customWidth="1"/>
    <col min="7" max="7" width="10.6640625" customWidth="1"/>
  </cols>
  <sheetData>
    <row r="1" spans="1:7" x14ac:dyDescent="0.2">
      <c r="A1" t="s">
        <v>186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14219594</v>
      </c>
      <c r="C3" s="3">
        <v>2596392</v>
      </c>
      <c r="D3" s="3">
        <v>2776443</v>
      </c>
      <c r="E3" s="3">
        <v>2998686</v>
      </c>
      <c r="F3" s="3">
        <v>3010782</v>
      </c>
      <c r="G3" s="3">
        <v>2837292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86778.96</v>
      </c>
      <c r="C6" s="5">
        <v>12854.65</v>
      </c>
      <c r="D6" s="5">
        <v>34499.97</v>
      </c>
      <c r="E6" s="5">
        <v>60907.33</v>
      </c>
      <c r="F6" s="5">
        <v>99189.45</v>
      </c>
      <c r="G6" s="5">
        <v>219758.52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50.4</v>
      </c>
      <c r="C8" s="4">
        <v>55.9</v>
      </c>
      <c r="D8" s="4">
        <v>52.3</v>
      </c>
      <c r="E8" s="4">
        <v>48.2</v>
      </c>
      <c r="F8" s="4">
        <v>47.3</v>
      </c>
      <c r="G8" s="4">
        <v>49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2.6</v>
      </c>
      <c r="E10" s="4">
        <v>2.8</v>
      </c>
      <c r="F10" s="4">
        <v>3.1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0.3</v>
      </c>
      <c r="D11" s="4">
        <v>0.7</v>
      </c>
      <c r="E11" s="4">
        <v>0.6</v>
      </c>
      <c r="F11" s="4">
        <v>0.7</v>
      </c>
      <c r="G11" s="4">
        <v>0.7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0.5</v>
      </c>
      <c r="E12" s="4">
        <v>0.4</v>
      </c>
      <c r="F12" s="4">
        <v>0.3</v>
      </c>
      <c r="G12" s="4">
        <v>0.2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</v>
      </c>
      <c r="E13" s="4">
        <v>1.5</v>
      </c>
      <c r="F13" s="4">
        <v>1.9</v>
      </c>
      <c r="G13" s="4">
        <v>2.2000000000000002</v>
      </c>
    </row>
    <row r="14" spans="1:7" ht="18" x14ac:dyDescent="0.2">
      <c r="A14" s="2" t="s">
        <v>16</v>
      </c>
      <c r="B14" s="4">
        <v>1.9</v>
      </c>
      <c r="C14" s="4">
        <v>1.1000000000000001</v>
      </c>
      <c r="D14" s="4">
        <v>1.5</v>
      </c>
      <c r="E14" s="4">
        <v>2</v>
      </c>
      <c r="F14" s="4">
        <v>2.2999999999999998</v>
      </c>
      <c r="G14" s="4">
        <v>2.7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47.3</v>
      </c>
      <c r="C18" s="4">
        <v>39.4</v>
      </c>
      <c r="D18" s="4">
        <v>46.1</v>
      </c>
      <c r="E18" s="4">
        <v>44.6</v>
      </c>
      <c r="F18" s="4">
        <v>47</v>
      </c>
      <c r="G18" s="4">
        <v>58.7</v>
      </c>
    </row>
    <row r="19" spans="1:7" ht="18" x14ac:dyDescent="0.2">
      <c r="A19" s="2" t="s">
        <v>19</v>
      </c>
      <c r="B19" s="4">
        <v>52.8</v>
      </c>
      <c r="C19" s="4">
        <v>60.6</v>
      </c>
      <c r="D19" s="4">
        <v>53.9</v>
      </c>
      <c r="E19" s="4">
        <v>55.4</v>
      </c>
      <c r="F19" s="4">
        <v>53</v>
      </c>
      <c r="G19" s="4">
        <v>41.3</v>
      </c>
    </row>
    <row r="20" spans="1:7" ht="18" x14ac:dyDescent="0.2">
      <c r="A20" s="2" t="s">
        <v>21</v>
      </c>
      <c r="B20" s="4">
        <v>54.6</v>
      </c>
      <c r="C20" s="4">
        <v>35.200000000000003</v>
      </c>
      <c r="D20" s="4">
        <v>42.7</v>
      </c>
      <c r="E20" s="4">
        <v>52.4</v>
      </c>
      <c r="F20" s="4">
        <v>60.5</v>
      </c>
      <c r="G20" s="4">
        <v>79.7</v>
      </c>
    </row>
    <row r="21" spans="1:7" ht="18" x14ac:dyDescent="0.2">
      <c r="A21" s="2" t="s">
        <v>22</v>
      </c>
      <c r="B21" s="4">
        <v>35.299999999999997</v>
      </c>
      <c r="C21" s="4">
        <v>11.5</v>
      </c>
      <c r="D21" s="4">
        <v>20.100000000000001</v>
      </c>
      <c r="E21" s="4">
        <v>34</v>
      </c>
      <c r="F21" s="4">
        <v>44</v>
      </c>
      <c r="G21" s="4">
        <v>64</v>
      </c>
    </row>
    <row r="22" spans="1:7" ht="18" x14ac:dyDescent="0.2">
      <c r="A22" s="2" t="s">
        <v>23</v>
      </c>
      <c r="B22" s="4">
        <v>19.3</v>
      </c>
      <c r="C22" s="4">
        <v>23.7</v>
      </c>
      <c r="D22" s="4">
        <v>22.7</v>
      </c>
      <c r="E22" s="4">
        <v>18.399999999999999</v>
      </c>
      <c r="F22" s="4">
        <v>16.5</v>
      </c>
      <c r="G22" s="4">
        <v>15.7</v>
      </c>
    </row>
    <row r="23" spans="1:7" ht="18" x14ac:dyDescent="0.2">
      <c r="A23" s="2" t="s">
        <v>24</v>
      </c>
      <c r="B23" s="4">
        <v>45.5</v>
      </c>
      <c r="C23" s="4">
        <v>64.8</v>
      </c>
      <c r="D23" s="4">
        <v>57.3</v>
      </c>
      <c r="E23" s="4">
        <v>47.6</v>
      </c>
      <c r="F23" s="4">
        <v>39.5</v>
      </c>
      <c r="G23" s="4">
        <v>20.3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4.7</v>
      </c>
      <c r="C25" s="4">
        <v>6.6</v>
      </c>
      <c r="D25" s="4">
        <v>5.7</v>
      </c>
      <c r="E25" s="4">
        <v>4.9000000000000004</v>
      </c>
      <c r="F25" s="4">
        <v>3.3</v>
      </c>
      <c r="G25" s="4">
        <v>3</v>
      </c>
    </row>
    <row r="26" spans="1:7" ht="18" x14ac:dyDescent="0.2">
      <c r="A26" s="2" t="s">
        <v>172</v>
      </c>
      <c r="B26" s="4">
        <v>95.3</v>
      </c>
      <c r="C26" s="4">
        <v>93.4</v>
      </c>
      <c r="D26" s="4">
        <v>94.4</v>
      </c>
      <c r="E26" s="4">
        <v>95.1</v>
      </c>
      <c r="F26" s="4">
        <v>96.7</v>
      </c>
      <c r="G26" s="4">
        <v>97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27.6</v>
      </c>
      <c r="C28" s="4">
        <v>27.3</v>
      </c>
      <c r="D28" s="4">
        <v>35.9</v>
      </c>
      <c r="E28" s="4">
        <v>32.1</v>
      </c>
      <c r="F28" s="4">
        <v>26.7</v>
      </c>
      <c r="G28" s="4">
        <v>16.2</v>
      </c>
    </row>
    <row r="29" spans="1:7" ht="18" x14ac:dyDescent="0.2">
      <c r="A29" s="2" t="s">
        <v>30</v>
      </c>
      <c r="B29" s="4">
        <v>72.400000000000006</v>
      </c>
      <c r="C29" s="4">
        <v>72.7</v>
      </c>
      <c r="D29" s="4">
        <v>64.099999999999994</v>
      </c>
      <c r="E29" s="4">
        <v>67.900000000000006</v>
      </c>
      <c r="F29" s="4">
        <v>73.3</v>
      </c>
      <c r="G29" s="4">
        <v>83.8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4.2</v>
      </c>
      <c r="C31" s="4">
        <v>7.4</v>
      </c>
      <c r="D31" s="4">
        <v>7.8</v>
      </c>
      <c r="E31" s="4">
        <v>4.5</v>
      </c>
      <c r="F31" s="4">
        <v>1</v>
      </c>
      <c r="G31" s="4">
        <v>0.7</v>
      </c>
    </row>
    <row r="32" spans="1:7" ht="18" x14ac:dyDescent="0.2">
      <c r="A32" s="2" t="s">
        <v>33</v>
      </c>
      <c r="B32" s="4">
        <v>22.5</v>
      </c>
      <c r="C32" s="4">
        <v>35.9</v>
      </c>
      <c r="D32" s="4">
        <v>30</v>
      </c>
      <c r="E32" s="4">
        <v>21.3</v>
      </c>
      <c r="F32" s="4">
        <v>17.5</v>
      </c>
      <c r="G32" s="4">
        <v>9.4</v>
      </c>
    </row>
    <row r="33" spans="1:13" ht="18" x14ac:dyDescent="0.2">
      <c r="A33" s="2" t="s">
        <v>34</v>
      </c>
      <c r="B33" s="4">
        <v>73</v>
      </c>
      <c r="C33" s="4">
        <v>56</v>
      </c>
      <c r="D33" s="4">
        <v>62</v>
      </c>
      <c r="E33" s="4">
        <v>73.8</v>
      </c>
      <c r="F33" s="4">
        <v>81.400000000000006</v>
      </c>
      <c r="G33" s="4">
        <v>89.7</v>
      </c>
    </row>
    <row r="34" spans="1:13" ht="18" x14ac:dyDescent="0.2">
      <c r="A34" s="2" t="s">
        <v>35</v>
      </c>
      <c r="B34" s="4">
        <v>0.3</v>
      </c>
      <c r="C34" s="4">
        <v>0.7</v>
      </c>
      <c r="D34" s="4">
        <v>0.1</v>
      </c>
      <c r="E34" s="4">
        <v>0.5</v>
      </c>
      <c r="F34" s="4">
        <v>0.1</v>
      </c>
      <c r="G34" s="4">
        <v>0.3</v>
      </c>
    </row>
    <row r="35" spans="1:13" ht="18" x14ac:dyDescent="0.2">
      <c r="A35" s="2" t="s">
        <v>36</v>
      </c>
      <c r="B35" s="4">
        <v>89.1</v>
      </c>
      <c r="C35" s="4">
        <v>72.400000000000006</v>
      </c>
      <c r="D35" s="4">
        <v>88</v>
      </c>
      <c r="E35" s="4">
        <v>93.9</v>
      </c>
      <c r="F35" s="4">
        <v>94</v>
      </c>
      <c r="G35" s="4">
        <v>94.9</v>
      </c>
    </row>
    <row r="36" spans="1:13" ht="18" x14ac:dyDescent="0.2">
      <c r="A36" s="1"/>
    </row>
    <row r="37" spans="1:13" ht="18" x14ac:dyDescent="0.2">
      <c r="A37" s="2" t="s">
        <v>37</v>
      </c>
      <c r="B37" s="5">
        <v>68871.600000000006</v>
      </c>
      <c r="C37" s="5">
        <v>31857.62</v>
      </c>
      <c r="D37" s="5">
        <v>46381.3</v>
      </c>
      <c r="E37" s="5">
        <v>57389.24</v>
      </c>
      <c r="F37" s="5">
        <v>74997.25</v>
      </c>
      <c r="G37" s="5">
        <v>128292.69</v>
      </c>
    </row>
    <row r="38" spans="1:13" ht="18" x14ac:dyDescent="0.2">
      <c r="A38" s="2" t="s">
        <v>38</v>
      </c>
      <c r="B38" s="6">
        <v>9422.94</v>
      </c>
      <c r="C38" s="6">
        <v>5020</v>
      </c>
      <c r="D38" s="6">
        <v>6969.18</v>
      </c>
      <c r="E38" s="6">
        <v>8252.4699999999993</v>
      </c>
      <c r="F38" s="6">
        <v>10745.13</v>
      </c>
      <c r="G38" s="6">
        <v>14744.69</v>
      </c>
      <c r="H38" s="10">
        <f>B38/$B$37</f>
        <v>0.13681895004617287</v>
      </c>
      <c r="I38" s="10">
        <f t="shared" ref="I38:L53" si="0">C38/$B$37</f>
        <v>7.2889260595078373E-2</v>
      </c>
      <c r="J38" s="10">
        <f t="shared" si="0"/>
        <v>0.10119091178366699</v>
      </c>
      <c r="K38" s="10">
        <f t="shared" si="0"/>
        <v>0.1198239913113678</v>
      </c>
      <c r="L38" s="10">
        <f t="shared" si="0"/>
        <v>0.15601684874462041</v>
      </c>
      <c r="M38" t="s">
        <v>188</v>
      </c>
    </row>
    <row r="39" spans="1:13" ht="18" x14ac:dyDescent="0.2">
      <c r="A39" s="2" t="s">
        <v>39</v>
      </c>
      <c r="B39" s="6">
        <v>5097.8100000000004</v>
      </c>
      <c r="C39" s="6">
        <v>3370.14</v>
      </c>
      <c r="D39" s="6">
        <v>4112.88</v>
      </c>
      <c r="E39" s="6">
        <v>4792.51</v>
      </c>
      <c r="F39" s="6">
        <v>5539.46</v>
      </c>
      <c r="G39" s="6">
        <v>7107.18</v>
      </c>
      <c r="H39" s="10">
        <f t="shared" ref="H39:H64" si="1">B39/$B$37</f>
        <v>7.4019044134302089E-2</v>
      </c>
      <c r="I39" s="10">
        <f t="shared" si="0"/>
        <v>4.8933667868903866E-2</v>
      </c>
      <c r="J39" s="10">
        <f t="shared" si="0"/>
        <v>5.9718084086909547E-2</v>
      </c>
      <c r="K39" s="10">
        <f t="shared" si="0"/>
        <v>6.958615742918707E-2</v>
      </c>
      <c r="L39" s="10">
        <f t="shared" si="0"/>
        <v>8.0431701891636023E-2</v>
      </c>
      <c r="M39" t="s">
        <v>188</v>
      </c>
    </row>
    <row r="40" spans="1:13" ht="18" x14ac:dyDescent="0.2">
      <c r="A40" s="2" t="s">
        <v>40</v>
      </c>
      <c r="B40" s="4">
        <v>615.84</v>
      </c>
      <c r="C40" s="4">
        <v>418.26</v>
      </c>
      <c r="D40" s="4">
        <v>482.64</v>
      </c>
      <c r="E40" s="4">
        <v>593</v>
      </c>
      <c r="F40" s="4">
        <v>636.46</v>
      </c>
      <c r="G40" s="4">
        <v>877.61</v>
      </c>
      <c r="H40" s="10">
        <f t="shared" si="1"/>
        <v>8.9418570208910485E-3</v>
      </c>
      <c r="I40" s="10">
        <f t="shared" si="0"/>
        <v>6.0730402662345579E-3</v>
      </c>
      <c r="J40" s="10">
        <f t="shared" si="0"/>
        <v>7.0078232537068973E-3</v>
      </c>
      <c r="K40" s="10">
        <f t="shared" si="0"/>
        <v>8.6102254049564685E-3</v>
      </c>
      <c r="L40" s="10">
        <f t="shared" si="0"/>
        <v>9.2412547407058933E-3</v>
      </c>
      <c r="M40" t="s">
        <v>188</v>
      </c>
    </row>
    <row r="41" spans="1:13" ht="18" x14ac:dyDescent="0.2">
      <c r="A41" s="2" t="s">
        <v>41</v>
      </c>
      <c r="B41" s="4">
        <v>202.88</v>
      </c>
      <c r="C41" s="4">
        <v>139.78</v>
      </c>
      <c r="D41" s="4">
        <v>144.1</v>
      </c>
      <c r="E41" s="4">
        <v>204.11</v>
      </c>
      <c r="F41" s="4">
        <v>205.05</v>
      </c>
      <c r="G41" s="4">
        <v>296.33</v>
      </c>
      <c r="H41" s="10">
        <f t="shared" si="1"/>
        <v>2.9457715516991033E-3</v>
      </c>
      <c r="I41" s="10">
        <f t="shared" si="0"/>
        <v>2.0295738737012062E-3</v>
      </c>
      <c r="J41" s="10">
        <f t="shared" si="0"/>
        <v>2.0922992931774486E-3</v>
      </c>
      <c r="K41" s="10">
        <f t="shared" si="0"/>
        <v>2.9636308725222008E-3</v>
      </c>
      <c r="L41" s="10">
        <f t="shared" si="0"/>
        <v>2.9772794591674942E-3</v>
      </c>
      <c r="M41" t="s">
        <v>188</v>
      </c>
    </row>
    <row r="42" spans="1:13" ht="18" x14ac:dyDescent="0.2">
      <c r="A42" s="2" t="s">
        <v>42</v>
      </c>
      <c r="B42" s="4">
        <v>412.96</v>
      </c>
      <c r="C42" s="4">
        <v>278.48</v>
      </c>
      <c r="D42" s="4">
        <v>338.54</v>
      </c>
      <c r="E42" s="4">
        <v>388.89</v>
      </c>
      <c r="F42" s="4">
        <v>431.42</v>
      </c>
      <c r="G42" s="4">
        <v>581.28</v>
      </c>
      <c r="H42" s="10">
        <f t="shared" si="1"/>
        <v>5.9960854691919448E-3</v>
      </c>
      <c r="I42" s="10">
        <f t="shared" si="0"/>
        <v>4.0434663925333521E-3</v>
      </c>
      <c r="J42" s="10">
        <f t="shared" si="0"/>
        <v>4.9155239605294491E-3</v>
      </c>
      <c r="K42" s="10">
        <f t="shared" si="0"/>
        <v>5.6465945324342681E-3</v>
      </c>
      <c r="L42" s="10">
        <f t="shared" si="0"/>
        <v>6.2641204792686679E-3</v>
      </c>
      <c r="M42" t="s">
        <v>188</v>
      </c>
    </row>
    <row r="43" spans="1:13" ht="18" x14ac:dyDescent="0.2">
      <c r="A43" s="2" t="s">
        <v>43</v>
      </c>
      <c r="B43" s="6">
        <v>1119.0899999999999</v>
      </c>
      <c r="C43" s="4">
        <v>750.52</v>
      </c>
      <c r="D43" s="4">
        <v>975.6</v>
      </c>
      <c r="E43" s="6">
        <v>1033.1199999999999</v>
      </c>
      <c r="F43" s="6">
        <v>1148.8399999999999</v>
      </c>
      <c r="G43" s="6">
        <v>1567.16</v>
      </c>
      <c r="H43" s="10">
        <f t="shared" si="1"/>
        <v>1.6248932796682519E-2</v>
      </c>
      <c r="I43" s="10">
        <f t="shared" si="0"/>
        <v>1.0897380052155023E-2</v>
      </c>
      <c r="J43" s="10">
        <f t="shared" si="0"/>
        <v>1.4165490565051486E-2</v>
      </c>
      <c r="K43" s="10">
        <f t="shared" si="0"/>
        <v>1.5000667909559236E-2</v>
      </c>
      <c r="L43" s="10">
        <f t="shared" si="0"/>
        <v>1.6680896044233035E-2</v>
      </c>
      <c r="M43" t="s">
        <v>188</v>
      </c>
    </row>
    <row r="44" spans="1:13" ht="18" x14ac:dyDescent="0.2">
      <c r="A44" s="2" t="s">
        <v>44</v>
      </c>
      <c r="B44" s="4">
        <v>292.7</v>
      </c>
      <c r="C44" s="4">
        <v>229.66</v>
      </c>
      <c r="D44" s="4">
        <v>253.24</v>
      </c>
      <c r="E44" s="4">
        <v>256.22000000000003</v>
      </c>
      <c r="F44" s="4">
        <v>270.24</v>
      </c>
      <c r="G44" s="4">
        <v>423.9</v>
      </c>
      <c r="H44" s="10">
        <f t="shared" si="1"/>
        <v>4.249937564975984E-3</v>
      </c>
      <c r="I44" s="10">
        <f t="shared" si="0"/>
        <v>3.334611073359701E-3</v>
      </c>
      <c r="J44" s="10">
        <f t="shared" si="0"/>
        <v>3.6769873213341928E-3</v>
      </c>
      <c r="K44" s="10">
        <f t="shared" si="0"/>
        <v>3.7202562449543787E-3</v>
      </c>
      <c r="L44" s="10">
        <f t="shared" si="0"/>
        <v>3.9238234627916296E-3</v>
      </c>
      <c r="M44" t="s">
        <v>188</v>
      </c>
    </row>
    <row r="45" spans="1:13" ht="18" x14ac:dyDescent="0.2">
      <c r="A45" s="2" t="s">
        <v>45</v>
      </c>
      <c r="B45" s="4">
        <v>204.52</v>
      </c>
      <c r="C45" s="4">
        <v>129.57</v>
      </c>
      <c r="D45" s="4">
        <v>167.88</v>
      </c>
      <c r="E45" s="4">
        <v>193.2</v>
      </c>
      <c r="F45" s="4">
        <v>210.88</v>
      </c>
      <c r="G45" s="4">
        <v>296.23</v>
      </c>
      <c r="H45" s="10">
        <f t="shared" si="1"/>
        <v>2.9695839794632328E-3</v>
      </c>
      <c r="I45" s="10">
        <f t="shared" si="0"/>
        <v>1.8813269910964749E-3</v>
      </c>
      <c r="J45" s="10">
        <f t="shared" si="0"/>
        <v>2.437579495757322E-3</v>
      </c>
      <c r="K45" s="10">
        <f t="shared" si="0"/>
        <v>2.8052201487986338E-3</v>
      </c>
      <c r="L45" s="10">
        <f t="shared" si="0"/>
        <v>3.0619297359143678E-3</v>
      </c>
      <c r="M45" t="s">
        <v>188</v>
      </c>
    </row>
    <row r="46" spans="1:13" ht="18" x14ac:dyDescent="0.2">
      <c r="A46" s="2" t="s">
        <v>46</v>
      </c>
      <c r="B46" s="4">
        <v>138.36000000000001</v>
      </c>
      <c r="C46" s="4">
        <v>93.65</v>
      </c>
      <c r="D46" s="4">
        <v>111.85</v>
      </c>
      <c r="E46" s="4">
        <v>118.7</v>
      </c>
      <c r="F46" s="4">
        <v>158.96</v>
      </c>
      <c r="G46" s="4">
        <v>192.51</v>
      </c>
      <c r="H46" s="10">
        <f t="shared" si="1"/>
        <v>2.0089557960029968E-3</v>
      </c>
      <c r="I46" s="10">
        <f t="shared" si="0"/>
        <v>1.3597767439699382E-3</v>
      </c>
      <c r="J46" s="10">
        <f t="shared" si="0"/>
        <v>1.6240366130596644E-3</v>
      </c>
      <c r="K46" s="10">
        <f t="shared" si="0"/>
        <v>1.7234970582939847E-3</v>
      </c>
      <c r="L46" s="10">
        <f t="shared" si="0"/>
        <v>2.3080631203573026E-3</v>
      </c>
      <c r="M46" t="s">
        <v>188</v>
      </c>
    </row>
    <row r="47" spans="1:13" ht="18" x14ac:dyDescent="0.2">
      <c r="A47" s="2" t="s">
        <v>47</v>
      </c>
      <c r="B47" s="4">
        <v>230.41</v>
      </c>
      <c r="C47" s="4">
        <v>145.21</v>
      </c>
      <c r="D47" s="4">
        <v>221.21</v>
      </c>
      <c r="E47" s="4">
        <v>199.38</v>
      </c>
      <c r="F47" s="4">
        <v>263.42</v>
      </c>
      <c r="G47" s="4">
        <v>300.77999999999997</v>
      </c>
      <c r="H47" s="10">
        <f t="shared" si="1"/>
        <v>3.345500903129882E-3</v>
      </c>
      <c r="I47" s="10">
        <f t="shared" si="0"/>
        <v>2.1084162412373171E-3</v>
      </c>
      <c r="J47" s="10">
        <f t="shared" si="0"/>
        <v>3.2119189912823282E-3</v>
      </c>
      <c r="K47" s="10">
        <f t="shared" si="0"/>
        <v>2.8949523461049252E-3</v>
      </c>
      <c r="L47" s="10">
        <f t="shared" si="0"/>
        <v>3.8247986107481165E-3</v>
      </c>
      <c r="M47" t="s">
        <v>188</v>
      </c>
    </row>
    <row r="48" spans="1:13" ht="18" x14ac:dyDescent="0.2">
      <c r="A48" s="2" t="s">
        <v>48</v>
      </c>
      <c r="B48" s="4">
        <v>166.15</v>
      </c>
      <c r="C48" s="4">
        <v>84.79</v>
      </c>
      <c r="D48" s="4">
        <v>144.01</v>
      </c>
      <c r="E48" s="4">
        <v>176.91</v>
      </c>
      <c r="F48" s="4">
        <v>160.82</v>
      </c>
      <c r="G48" s="4">
        <v>243.32</v>
      </c>
      <c r="H48" s="10">
        <f t="shared" si="1"/>
        <v>2.4124602884207712E-3</v>
      </c>
      <c r="I48" s="10">
        <f t="shared" si="0"/>
        <v>1.231131554951533E-3</v>
      </c>
      <c r="J48" s="10">
        <f t="shared" si="0"/>
        <v>2.0909925136050268E-3</v>
      </c>
      <c r="K48" s="10">
        <f t="shared" si="0"/>
        <v>2.5686930461903015E-3</v>
      </c>
      <c r="L48" s="10">
        <f t="shared" si="0"/>
        <v>2.3350698981873513E-3</v>
      </c>
      <c r="M48" t="s">
        <v>188</v>
      </c>
    </row>
    <row r="49" spans="1:13" ht="18" x14ac:dyDescent="0.2">
      <c r="A49" s="2" t="s">
        <v>49</v>
      </c>
      <c r="B49" s="4">
        <v>86.95</v>
      </c>
      <c r="C49" s="4">
        <v>67.64</v>
      </c>
      <c r="D49" s="4">
        <v>77.400000000000006</v>
      </c>
      <c r="E49" s="4">
        <v>88.71</v>
      </c>
      <c r="F49" s="4">
        <v>84.53</v>
      </c>
      <c r="G49" s="4">
        <v>110.41</v>
      </c>
      <c r="H49" s="10">
        <f t="shared" si="1"/>
        <v>1.2624942646896544E-3</v>
      </c>
      <c r="I49" s="10">
        <f t="shared" si="0"/>
        <v>9.8211744754005993E-4</v>
      </c>
      <c r="J49" s="10">
        <f t="shared" si="0"/>
        <v>1.1238304322826824E-3</v>
      </c>
      <c r="K49" s="10">
        <f t="shared" si="0"/>
        <v>1.2880490652170122E-3</v>
      </c>
      <c r="L49" s="10">
        <f t="shared" si="0"/>
        <v>1.2273564139645369E-3</v>
      </c>
      <c r="M49" t="s">
        <v>188</v>
      </c>
    </row>
    <row r="50" spans="1:13" ht="18" x14ac:dyDescent="0.2">
      <c r="A50" s="2" t="s">
        <v>50</v>
      </c>
      <c r="B50" s="4">
        <v>524.95000000000005</v>
      </c>
      <c r="C50" s="4">
        <v>363.96</v>
      </c>
      <c r="D50" s="4">
        <v>413.23</v>
      </c>
      <c r="E50" s="4">
        <v>496.03</v>
      </c>
      <c r="F50" s="4">
        <v>554.82000000000005</v>
      </c>
      <c r="G50" s="4">
        <v>737.73</v>
      </c>
      <c r="H50" s="10">
        <f t="shared" si="1"/>
        <v>7.6221548504753775E-3</v>
      </c>
      <c r="I50" s="10">
        <f t="shared" si="0"/>
        <v>5.2846165908734507E-3</v>
      </c>
      <c r="J50" s="10">
        <f t="shared" si="0"/>
        <v>6.0000058079092101E-3</v>
      </c>
      <c r="K50" s="10">
        <f t="shared" si="0"/>
        <v>7.2022430145371958E-3</v>
      </c>
      <c r="L50" s="10">
        <f t="shared" si="0"/>
        <v>8.055860470789121E-3</v>
      </c>
      <c r="M50" t="s">
        <v>188</v>
      </c>
    </row>
    <row r="51" spans="1:13" ht="18" x14ac:dyDescent="0.2">
      <c r="A51" s="2" t="s">
        <v>51</v>
      </c>
      <c r="B51" s="4">
        <v>174.81</v>
      </c>
      <c r="C51" s="4">
        <v>131.78</v>
      </c>
      <c r="D51" s="4">
        <v>152</v>
      </c>
      <c r="E51" s="4">
        <v>178.45</v>
      </c>
      <c r="F51" s="4">
        <v>177.26</v>
      </c>
      <c r="G51" s="4">
        <v>221.54</v>
      </c>
      <c r="H51" s="10">
        <f t="shared" si="1"/>
        <v>2.5382015228337948E-3</v>
      </c>
      <c r="I51" s="10">
        <f t="shared" si="0"/>
        <v>1.9134156894859418E-3</v>
      </c>
      <c r="J51" s="10">
        <f t="shared" si="0"/>
        <v>2.2070055000900225E-3</v>
      </c>
      <c r="K51" s="10">
        <f t="shared" si="0"/>
        <v>2.59105349665174E-3</v>
      </c>
      <c r="L51" s="10">
        <f t="shared" si="0"/>
        <v>2.5737749667497194E-3</v>
      </c>
      <c r="M51" t="s">
        <v>188</v>
      </c>
    </row>
    <row r="52" spans="1:13" ht="18" x14ac:dyDescent="0.2">
      <c r="A52" s="2" t="s">
        <v>52</v>
      </c>
      <c r="B52" s="4">
        <v>350.14</v>
      </c>
      <c r="C52" s="4">
        <v>232.18</v>
      </c>
      <c r="D52" s="4">
        <v>261.23</v>
      </c>
      <c r="E52" s="4">
        <v>317.58</v>
      </c>
      <c r="F52" s="4">
        <v>377.56</v>
      </c>
      <c r="G52" s="4">
        <v>516.19000000000005</v>
      </c>
      <c r="H52" s="10">
        <f t="shared" si="1"/>
        <v>5.0839533276415818E-3</v>
      </c>
      <c r="I52" s="10">
        <f t="shared" si="0"/>
        <v>3.3712009013875093E-3</v>
      </c>
      <c r="J52" s="10">
        <f t="shared" si="0"/>
        <v>3.793000307819188E-3</v>
      </c>
      <c r="K52" s="10">
        <f t="shared" si="0"/>
        <v>4.6111895178854558E-3</v>
      </c>
      <c r="L52" s="10">
        <f t="shared" si="0"/>
        <v>5.4820855040394008E-3</v>
      </c>
      <c r="M52" t="s">
        <v>188</v>
      </c>
    </row>
    <row r="53" spans="1:13" ht="18" x14ac:dyDescent="0.2">
      <c r="A53" s="2" t="s">
        <v>53</v>
      </c>
      <c r="B53" s="6">
        <v>1056.82</v>
      </c>
      <c r="C53" s="4">
        <v>709.74</v>
      </c>
      <c r="D53" s="4">
        <v>834.4</v>
      </c>
      <c r="E53" s="6">
        <v>1010.15</v>
      </c>
      <c r="F53" s="6">
        <v>1176.57</v>
      </c>
      <c r="G53" s="6">
        <v>1438.46</v>
      </c>
      <c r="H53" s="10">
        <f t="shared" si="1"/>
        <v>1.5344786530296957E-2</v>
      </c>
      <c r="I53" s="10">
        <f t="shared" si="0"/>
        <v>1.0305263708117714E-2</v>
      </c>
      <c r="J53" s="10">
        <f t="shared" si="0"/>
        <v>1.211529861365207E-2</v>
      </c>
      <c r="K53" s="10">
        <f t="shared" si="0"/>
        <v>1.4667148723131159E-2</v>
      </c>
      <c r="L53" s="10">
        <f t="shared" si="0"/>
        <v>1.7083529350269196E-2</v>
      </c>
      <c r="M53" t="s">
        <v>188</v>
      </c>
    </row>
    <row r="54" spans="1:13" ht="18" x14ac:dyDescent="0.2">
      <c r="A54" s="2" t="s">
        <v>54</v>
      </c>
      <c r="B54" s="4">
        <v>418.88</v>
      </c>
      <c r="C54" s="4">
        <v>267.08999999999997</v>
      </c>
      <c r="D54" s="4">
        <v>307.88</v>
      </c>
      <c r="E54" s="4">
        <v>391.89</v>
      </c>
      <c r="F54" s="4">
        <v>478.24</v>
      </c>
      <c r="G54" s="4">
        <v>596.03</v>
      </c>
      <c r="H54" s="10">
        <f t="shared" si="1"/>
        <v>6.0820425255112406E-3</v>
      </c>
      <c r="I54" s="10">
        <f t="shared" ref="I54:I64" si="2">C54/$B$37</f>
        <v>3.8780861777568685E-3</v>
      </c>
      <c r="J54" s="10">
        <f t="shared" ref="J54:J64" si="3">D54/$B$37</f>
        <v>4.4703477195244482E-3</v>
      </c>
      <c r="K54" s="10">
        <f t="shared" ref="K54:K64" si="4">E54/$B$37</f>
        <v>5.6901538515149921E-3</v>
      </c>
      <c r="L54" s="10">
        <f t="shared" ref="L54:L64" si="5">F54/$B$37</f>
        <v>6.943936252388502E-3</v>
      </c>
      <c r="M54" t="s">
        <v>188</v>
      </c>
    </row>
    <row r="55" spans="1:13" ht="18" x14ac:dyDescent="0.2">
      <c r="A55" s="2" t="s">
        <v>55</v>
      </c>
      <c r="B55" s="4">
        <v>378.15</v>
      </c>
      <c r="C55" s="4">
        <v>278.04000000000002</v>
      </c>
      <c r="D55" s="4">
        <v>312.13</v>
      </c>
      <c r="E55" s="4">
        <v>368.22</v>
      </c>
      <c r="F55" s="4">
        <v>414.13</v>
      </c>
      <c r="G55" s="4">
        <v>485.53</v>
      </c>
      <c r="H55" s="10">
        <f t="shared" si="1"/>
        <v>5.4906521701252762E-3</v>
      </c>
      <c r="I55" s="10">
        <f t="shared" si="2"/>
        <v>4.037077692401512E-3</v>
      </c>
      <c r="J55" s="10">
        <f t="shared" si="3"/>
        <v>4.5320567548888073E-3</v>
      </c>
      <c r="K55" s="10">
        <f t="shared" si="4"/>
        <v>5.3464708239680794E-3</v>
      </c>
      <c r="L55" s="10">
        <f t="shared" si="5"/>
        <v>6.0130736036334278E-3</v>
      </c>
      <c r="M55" t="s">
        <v>188</v>
      </c>
    </row>
    <row r="56" spans="1:13" ht="18" x14ac:dyDescent="0.2">
      <c r="A56" s="2" t="s">
        <v>56</v>
      </c>
      <c r="B56" s="4">
        <v>128.19</v>
      </c>
      <c r="C56" s="4">
        <v>83.13</v>
      </c>
      <c r="D56" s="4">
        <v>93.92</v>
      </c>
      <c r="E56" s="4">
        <v>129.16999999999999</v>
      </c>
      <c r="F56" s="4">
        <v>149.25</v>
      </c>
      <c r="G56" s="4">
        <v>171.29</v>
      </c>
      <c r="H56" s="10">
        <f t="shared" si="1"/>
        <v>1.8612897043193419E-3</v>
      </c>
      <c r="I56" s="10">
        <f t="shared" si="2"/>
        <v>1.2070287317268655E-3</v>
      </c>
      <c r="J56" s="10">
        <f t="shared" si="3"/>
        <v>1.3636970826872033E-3</v>
      </c>
      <c r="K56" s="10">
        <f t="shared" si="4"/>
        <v>1.8755190818857117E-3</v>
      </c>
      <c r="L56" s="10">
        <f t="shared" si="5"/>
        <v>2.1670761242660254E-3</v>
      </c>
      <c r="M56" t="s">
        <v>188</v>
      </c>
    </row>
    <row r="57" spans="1:13" ht="18" x14ac:dyDescent="0.2">
      <c r="A57" s="2" t="s">
        <v>57</v>
      </c>
      <c r="B57" s="4">
        <v>131.59</v>
      </c>
      <c r="C57" s="4">
        <v>81.47</v>
      </c>
      <c r="D57" s="4">
        <v>120.48</v>
      </c>
      <c r="E57" s="4">
        <v>120.87</v>
      </c>
      <c r="F57" s="4">
        <v>134.94</v>
      </c>
      <c r="G57" s="4">
        <v>185.61</v>
      </c>
      <c r="H57" s="10">
        <f t="shared" si="1"/>
        <v>1.9106569326108292E-3</v>
      </c>
      <c r="I57" s="10">
        <f t="shared" si="2"/>
        <v>1.1829259085021982E-3</v>
      </c>
      <c r="J57" s="10">
        <f t="shared" si="3"/>
        <v>1.749342254281881E-3</v>
      </c>
      <c r="K57" s="10">
        <f t="shared" si="4"/>
        <v>1.7550049657623751E-3</v>
      </c>
      <c r="L57" s="10">
        <f t="shared" si="5"/>
        <v>1.9592981722509712E-3</v>
      </c>
      <c r="M57" t="s">
        <v>188</v>
      </c>
    </row>
    <row r="58" spans="1:13" ht="18" x14ac:dyDescent="0.2">
      <c r="A58" s="2" t="s">
        <v>59</v>
      </c>
      <c r="B58" s="6">
        <v>1781.11</v>
      </c>
      <c r="C58" s="6">
        <v>1127.67</v>
      </c>
      <c r="D58" s="6">
        <v>1407.01</v>
      </c>
      <c r="E58" s="6">
        <v>1660.2</v>
      </c>
      <c r="F58" s="6">
        <v>2022.77</v>
      </c>
      <c r="G58" s="6">
        <v>2486.2199999999998</v>
      </c>
      <c r="H58" s="10">
        <f t="shared" si="1"/>
        <v>2.5861312935956181E-2</v>
      </c>
      <c r="I58" s="10">
        <f t="shared" si="2"/>
        <v>1.6373512449253391E-2</v>
      </c>
      <c r="J58" s="10">
        <f t="shared" si="3"/>
        <v>2.0429465846589886E-2</v>
      </c>
      <c r="K58" s="10">
        <f t="shared" si="4"/>
        <v>2.4105727179272732E-2</v>
      </c>
      <c r="L58" s="10">
        <f t="shared" si="5"/>
        <v>2.9370161285638779E-2</v>
      </c>
      <c r="M58" t="s">
        <v>188</v>
      </c>
    </row>
    <row r="59" spans="1:13" ht="18" x14ac:dyDescent="0.2">
      <c r="A59" s="2" t="s">
        <v>60</v>
      </c>
      <c r="B59" s="4">
        <v>150.38999999999999</v>
      </c>
      <c r="C59" s="4">
        <v>91.04</v>
      </c>
      <c r="D59" s="4">
        <v>116.26</v>
      </c>
      <c r="E59" s="4">
        <v>156.82</v>
      </c>
      <c r="F59" s="4">
        <v>175.3</v>
      </c>
      <c r="G59" s="4">
        <v>196.59</v>
      </c>
      <c r="H59" s="10">
        <f t="shared" si="1"/>
        <v>2.1836286655167003E-3</v>
      </c>
      <c r="I59" s="10">
        <f t="shared" si="2"/>
        <v>1.3218801363697082E-3</v>
      </c>
      <c r="J59" s="10">
        <f t="shared" si="3"/>
        <v>1.688068812108329E-3</v>
      </c>
      <c r="K59" s="10">
        <f t="shared" si="4"/>
        <v>2.276990806079719E-3</v>
      </c>
      <c r="L59" s="10">
        <f t="shared" si="5"/>
        <v>2.5453162116169797E-3</v>
      </c>
      <c r="M59" t="s">
        <v>188</v>
      </c>
    </row>
    <row r="60" spans="1:13" ht="18" x14ac:dyDescent="0.2">
      <c r="A60" s="2" t="s">
        <v>61</v>
      </c>
      <c r="B60" s="4">
        <v>117.63</v>
      </c>
      <c r="C60" s="4">
        <v>83.4</v>
      </c>
      <c r="D60" s="4">
        <v>101.2</v>
      </c>
      <c r="E60" s="4">
        <v>112.09</v>
      </c>
      <c r="F60" s="4">
        <v>115.46</v>
      </c>
      <c r="G60" s="4">
        <v>164.1</v>
      </c>
      <c r="H60" s="10">
        <f t="shared" si="1"/>
        <v>1.7079609011551929E-3</v>
      </c>
      <c r="I60" s="10">
        <f t="shared" si="2"/>
        <v>1.2109490704441308E-3</v>
      </c>
      <c r="J60" s="10">
        <f t="shared" si="3"/>
        <v>1.4694010303230938E-3</v>
      </c>
      <c r="K60" s="10">
        <f t="shared" si="4"/>
        <v>1.6275213585861224E-3</v>
      </c>
      <c r="L60" s="10">
        <f t="shared" si="5"/>
        <v>1.6764529936868025E-3</v>
      </c>
      <c r="M60" t="s">
        <v>188</v>
      </c>
    </row>
    <row r="61" spans="1:13" ht="18" x14ac:dyDescent="0.2">
      <c r="A61" s="2" t="s">
        <v>62</v>
      </c>
      <c r="B61" s="4">
        <v>963.45</v>
      </c>
      <c r="C61" s="4">
        <v>607.95000000000005</v>
      </c>
      <c r="D61" s="4">
        <v>749.59</v>
      </c>
      <c r="E61" s="4">
        <v>896.8</v>
      </c>
      <c r="F61" s="6">
        <v>1088.82</v>
      </c>
      <c r="G61" s="6">
        <v>1356.45</v>
      </c>
      <c r="H61" s="10">
        <f t="shared" si="1"/>
        <v>1.3989075322774554E-2</v>
      </c>
      <c r="I61" s="10">
        <f t="shared" si="2"/>
        <v>8.8272960117087452E-3</v>
      </c>
      <c r="J61" s="10">
        <f t="shared" si="3"/>
        <v>1.088387666324E-2</v>
      </c>
      <c r="K61" s="10">
        <f t="shared" si="4"/>
        <v>1.3021332450531132E-2</v>
      </c>
      <c r="L61" s="10">
        <f t="shared" si="5"/>
        <v>1.5809419267158013E-2</v>
      </c>
      <c r="M61" t="s">
        <v>188</v>
      </c>
    </row>
    <row r="62" spans="1:13" ht="18" x14ac:dyDescent="0.2">
      <c r="A62" s="2" t="s">
        <v>63</v>
      </c>
      <c r="B62" s="4">
        <v>483.71</v>
      </c>
      <c r="C62" s="4">
        <v>318.61</v>
      </c>
      <c r="D62" s="4">
        <v>392.82</v>
      </c>
      <c r="E62" s="4">
        <v>440.5</v>
      </c>
      <c r="F62" s="4">
        <v>565.88</v>
      </c>
      <c r="G62" s="4">
        <v>648.29999999999995</v>
      </c>
      <c r="H62" s="10">
        <f t="shared" si="1"/>
        <v>7.0233594108456889E-3</v>
      </c>
      <c r="I62" s="10">
        <f t="shared" si="2"/>
        <v>4.6261448841031713E-3</v>
      </c>
      <c r="J62" s="10">
        <f t="shared" si="3"/>
        <v>5.703657240430017E-3</v>
      </c>
      <c r="K62" s="10">
        <f t="shared" si="4"/>
        <v>6.3959600183529928E-3</v>
      </c>
      <c r="L62" s="10">
        <f t="shared" si="5"/>
        <v>8.2164491604667222E-3</v>
      </c>
      <c r="M62" t="s">
        <v>189</v>
      </c>
    </row>
    <row r="63" spans="1:13" ht="18" x14ac:dyDescent="0.2">
      <c r="A63" s="2" t="s">
        <v>175</v>
      </c>
      <c r="B63" s="4">
        <v>65.930000000000007</v>
      </c>
      <c r="C63" s="4">
        <v>26.66</v>
      </c>
      <c r="D63" s="4">
        <v>47.14</v>
      </c>
      <c r="E63" s="4">
        <v>54</v>
      </c>
      <c r="F63" s="4">
        <v>77.31</v>
      </c>
      <c r="G63" s="4">
        <v>120.79</v>
      </c>
      <c r="H63" s="10">
        <f t="shared" si="1"/>
        <v>9.5728863566404726E-4</v>
      </c>
      <c r="I63" s="10">
        <f t="shared" si="2"/>
        <v>3.8709714889736843E-4</v>
      </c>
      <c r="J63" s="10">
        <f t="shared" si="3"/>
        <v>6.8446210048844509E-4</v>
      </c>
      <c r="K63" s="10">
        <f t="shared" si="4"/>
        <v>7.8406774345303432E-4</v>
      </c>
      <c r="L63" s="10">
        <f t="shared" si="5"/>
        <v>1.1225236527102607E-3</v>
      </c>
      <c r="M63" t="s">
        <v>189</v>
      </c>
    </row>
    <row r="64" spans="1:13" ht="18" x14ac:dyDescent="0.2">
      <c r="A64" s="2" t="s">
        <v>65</v>
      </c>
      <c r="B64" s="6">
        <v>4325.1400000000003</v>
      </c>
      <c r="C64" s="6">
        <v>1649.85</v>
      </c>
      <c r="D64" s="6">
        <v>2856.3</v>
      </c>
      <c r="E64" s="6">
        <v>3459.96</v>
      </c>
      <c r="F64" s="6">
        <v>5205.67</v>
      </c>
      <c r="G64" s="6">
        <v>7637.51</v>
      </c>
      <c r="H64" s="10">
        <f t="shared" si="1"/>
        <v>6.280005110960106E-2</v>
      </c>
      <c r="I64" s="10">
        <f t="shared" si="2"/>
        <v>2.3955447528444231E-2</v>
      </c>
      <c r="J64" s="10">
        <f t="shared" si="3"/>
        <v>4.147282769675744E-2</v>
      </c>
      <c r="K64" s="10">
        <f t="shared" si="4"/>
        <v>5.0237833882180748E-2</v>
      </c>
      <c r="L64" s="10">
        <f t="shared" si="5"/>
        <v>7.5585146852984383E-2</v>
      </c>
      <c r="M64" t="s">
        <v>189</v>
      </c>
    </row>
    <row r="65" spans="1:13" ht="18" x14ac:dyDescent="0.2">
      <c r="A65" s="1"/>
      <c r="H65" s="10"/>
      <c r="I65" s="10"/>
      <c r="J65" s="10"/>
      <c r="K65" s="10"/>
      <c r="L65" s="10"/>
    </row>
    <row r="66" spans="1:13" ht="18" x14ac:dyDescent="0.2">
      <c r="A66" s="2" t="s">
        <v>66</v>
      </c>
      <c r="B66" s="4">
        <v>815.67</v>
      </c>
      <c r="C66" s="4">
        <v>229.45</v>
      </c>
      <c r="D66" s="4">
        <v>360.22</v>
      </c>
      <c r="E66" s="4">
        <v>681.67</v>
      </c>
      <c r="F66" s="4">
        <v>966.85</v>
      </c>
      <c r="G66" s="6">
        <v>1628.39</v>
      </c>
      <c r="H66" s="10">
        <f t="shared" ref="H65:H66" si="6">B66/$B$37</f>
        <v>1.1843343264858083E-2</v>
      </c>
      <c r="I66" s="10">
        <f t="shared" ref="I65:I66" si="7">C66/$B$37</f>
        <v>3.3315619210240502E-3</v>
      </c>
      <c r="J66" s="10">
        <f t="shared" ref="J65:J66" si="8">D66/$B$37</f>
        <v>5.2303126397528149E-3</v>
      </c>
      <c r="K66" s="10">
        <f t="shared" ref="K65:K66" si="9">E66/$B$37</f>
        <v>9.8976936792524051E-3</v>
      </c>
      <c r="L66" s="10">
        <f t="shared" ref="L65:L66" si="10">F66/$B$37</f>
        <v>1.4038442551066042E-2</v>
      </c>
      <c r="M66" t="s">
        <v>189</v>
      </c>
    </row>
    <row r="67" spans="1:13" ht="18" x14ac:dyDescent="0.2">
      <c r="A67" s="1"/>
      <c r="H67" s="10"/>
      <c r="I67" s="10"/>
      <c r="J67" s="10"/>
      <c r="K67" s="10"/>
      <c r="L67" s="10"/>
    </row>
    <row r="68" spans="1:13" ht="18" x14ac:dyDescent="0.2">
      <c r="A68" s="2" t="s">
        <v>67</v>
      </c>
      <c r="B68" s="6">
        <v>25362.98</v>
      </c>
      <c r="C68" s="6">
        <v>14548.89</v>
      </c>
      <c r="D68" s="6">
        <v>19364.88</v>
      </c>
      <c r="E68" s="6">
        <v>22189.25</v>
      </c>
      <c r="F68" s="6">
        <v>27211.84</v>
      </c>
      <c r="G68" s="6">
        <v>42267.92</v>
      </c>
      <c r="H68" s="10">
        <f t="shared" ref="H67:H130" si="11">B68/$B$37</f>
        <v>0.36826471288600815</v>
      </c>
      <c r="I68" s="10">
        <f t="shared" ref="I67:I130" si="12">C68/$B$37</f>
        <v>0.21124658059345214</v>
      </c>
      <c r="J68" s="10">
        <f t="shared" ref="J67:J130" si="13">D68/$B$37</f>
        <v>0.28117366229331103</v>
      </c>
      <c r="K68" s="10">
        <f t="shared" ref="K67:K130" si="14">E68/$B$37</f>
        <v>0.32218287363731929</v>
      </c>
      <c r="L68" s="10">
        <f t="shared" ref="L67:L130" si="15">F68/$B$37</f>
        <v>0.39510974044453734</v>
      </c>
      <c r="M68" t="s">
        <v>188</v>
      </c>
    </row>
    <row r="69" spans="1:13" ht="18" x14ac:dyDescent="0.2">
      <c r="A69" s="2" t="s">
        <v>68</v>
      </c>
      <c r="B69" s="6">
        <v>16898.080000000002</v>
      </c>
      <c r="C69" s="6">
        <v>10331.94</v>
      </c>
      <c r="D69" s="6">
        <v>13172.4</v>
      </c>
      <c r="E69" s="6">
        <v>14798.87</v>
      </c>
      <c r="F69" s="6">
        <v>18091.919999999998</v>
      </c>
      <c r="G69" s="6">
        <v>27504.3</v>
      </c>
      <c r="H69" s="10">
        <f t="shared" si="11"/>
        <v>0.24535628619053426</v>
      </c>
      <c r="I69" s="10">
        <f t="shared" si="12"/>
        <v>0.15001742372763227</v>
      </c>
      <c r="J69" s="10">
        <f t="shared" si="13"/>
        <v>0.19126025821964349</v>
      </c>
      <c r="K69" s="10">
        <f t="shared" si="14"/>
        <v>0.21487623345471862</v>
      </c>
      <c r="L69" s="10">
        <f t="shared" si="15"/>
        <v>0.26269057202097812</v>
      </c>
      <c r="M69" t="s">
        <v>188</v>
      </c>
    </row>
    <row r="70" spans="1:13" ht="18" x14ac:dyDescent="0.2">
      <c r="A70" s="2" t="s">
        <v>69</v>
      </c>
      <c r="B70" s="6">
        <v>8172.34</v>
      </c>
      <c r="C70" s="6">
        <v>2796.43</v>
      </c>
      <c r="D70" s="6">
        <v>4318.5600000000004</v>
      </c>
      <c r="E70" s="6">
        <v>5839.07</v>
      </c>
      <c r="F70" s="6">
        <v>8474.07</v>
      </c>
      <c r="G70" s="6">
        <v>19008.740000000002</v>
      </c>
      <c r="H70" s="10">
        <f t="shared" si="11"/>
        <v>0.11866052189872167</v>
      </c>
      <c r="I70" s="10">
        <f t="shared" si="12"/>
        <v>4.0603528885636453E-2</v>
      </c>
      <c r="J70" s="10">
        <f t="shared" si="13"/>
        <v>6.2704511003083996E-2</v>
      </c>
      <c r="K70" s="10">
        <f t="shared" si="14"/>
        <v>8.4781971088227936E-2</v>
      </c>
      <c r="L70" s="10">
        <f t="shared" si="15"/>
        <v>0.12304157301413063</v>
      </c>
      <c r="M70" t="s">
        <v>188</v>
      </c>
    </row>
    <row r="71" spans="1:13" ht="18" x14ac:dyDescent="0.2">
      <c r="A71" s="2" t="s">
        <v>70</v>
      </c>
      <c r="B71" s="6">
        <v>4093.6</v>
      </c>
      <c r="C71" s="4">
        <v>877.62</v>
      </c>
      <c r="D71" s="6">
        <v>1426.26</v>
      </c>
      <c r="E71" s="6">
        <v>2763.28</v>
      </c>
      <c r="F71" s="6">
        <v>4671.1000000000004</v>
      </c>
      <c r="G71" s="6">
        <v>10439.83</v>
      </c>
      <c r="H71" s="10">
        <f t="shared" si="11"/>
        <v>5.9438142862950759E-2</v>
      </c>
      <c r="I71" s="10">
        <f t="shared" si="12"/>
        <v>1.2742843203875037E-2</v>
      </c>
      <c r="J71" s="10">
        <f t="shared" si="13"/>
        <v>2.0708971477357865E-2</v>
      </c>
      <c r="K71" s="10">
        <f t="shared" si="14"/>
        <v>4.012219840979446E-2</v>
      </c>
      <c r="L71" s="10">
        <f t="shared" si="15"/>
        <v>6.7823311785990159E-2</v>
      </c>
      <c r="M71" t="s">
        <v>188</v>
      </c>
    </row>
    <row r="72" spans="1:13" ht="18" x14ac:dyDescent="0.2">
      <c r="A72" s="2" t="s">
        <v>71</v>
      </c>
      <c r="B72" s="6">
        <v>2469.56</v>
      </c>
      <c r="C72" s="4">
        <v>921.31</v>
      </c>
      <c r="D72" s="6">
        <v>1518.7</v>
      </c>
      <c r="E72" s="6">
        <v>1870.46</v>
      </c>
      <c r="F72" s="6">
        <v>2448.91</v>
      </c>
      <c r="G72" s="6">
        <v>5471.92</v>
      </c>
      <c r="H72" s="10">
        <f t="shared" si="11"/>
        <v>3.5857450676331025E-2</v>
      </c>
      <c r="I72" s="10">
        <f t="shared" si="12"/>
        <v>1.3377212087420648E-2</v>
      </c>
      <c r="J72" s="10">
        <f t="shared" si="13"/>
        <v>2.2051179295965246E-2</v>
      </c>
      <c r="K72" s="10">
        <f t="shared" si="14"/>
        <v>2.7158654655910417E-2</v>
      </c>
      <c r="L72" s="10">
        <f t="shared" si="15"/>
        <v>3.5557617363325369E-2</v>
      </c>
      <c r="M72" t="s">
        <v>189</v>
      </c>
    </row>
    <row r="73" spans="1:13" ht="18" x14ac:dyDescent="0.2">
      <c r="A73" s="2" t="s">
        <v>176</v>
      </c>
      <c r="B73" s="6">
        <v>1609.18</v>
      </c>
      <c r="C73" s="4">
        <v>997.5</v>
      </c>
      <c r="D73" s="6">
        <v>1373.6</v>
      </c>
      <c r="E73" s="6">
        <v>1205.3399999999999</v>
      </c>
      <c r="F73" s="6">
        <v>1354.05</v>
      </c>
      <c r="G73" s="6">
        <v>3096.99</v>
      </c>
      <c r="H73" s="10">
        <f t="shared" si="11"/>
        <v>2.3364928359439884E-2</v>
      </c>
      <c r="I73" s="10">
        <f t="shared" si="12"/>
        <v>1.4483473594340771E-2</v>
      </c>
      <c r="J73" s="10">
        <f t="shared" si="13"/>
        <v>1.9944360229760885E-2</v>
      </c>
      <c r="K73" s="10">
        <f t="shared" si="14"/>
        <v>1.7501263220253339E-2</v>
      </c>
      <c r="L73" s="10">
        <f t="shared" si="15"/>
        <v>1.9660498667084834E-2</v>
      </c>
      <c r="M73" t="s">
        <v>189</v>
      </c>
    </row>
    <row r="74" spans="1:13" ht="18" x14ac:dyDescent="0.2">
      <c r="A74" s="2" t="s">
        <v>73</v>
      </c>
      <c r="B74" s="6">
        <v>7811.51</v>
      </c>
      <c r="C74" s="6">
        <v>7204.57</v>
      </c>
      <c r="D74" s="6">
        <v>8342.33</v>
      </c>
      <c r="E74" s="6">
        <v>7997.87</v>
      </c>
      <c r="F74" s="6">
        <v>8875.07</v>
      </c>
      <c r="G74" s="6">
        <v>6521.94</v>
      </c>
      <c r="H74" s="10">
        <f t="shared" si="11"/>
        <v>0.11342135219742244</v>
      </c>
      <c r="I74" s="10">
        <f t="shared" si="12"/>
        <v>0.10460872115647087</v>
      </c>
      <c r="J74" s="10">
        <f t="shared" si="13"/>
        <v>0.12112873811556576</v>
      </c>
      <c r="K74" s="10">
        <f t="shared" si="14"/>
        <v>0.11612725709871702</v>
      </c>
      <c r="L74" s="10">
        <f t="shared" si="15"/>
        <v>0.12886400199792075</v>
      </c>
      <c r="M74" t="s">
        <v>188</v>
      </c>
    </row>
    <row r="75" spans="1:13" ht="18" x14ac:dyDescent="0.2">
      <c r="A75" s="2" t="s">
        <v>74</v>
      </c>
      <c r="B75" s="4">
        <v>914.24</v>
      </c>
      <c r="C75" s="4">
        <v>330.94</v>
      </c>
      <c r="D75" s="4">
        <v>511.52</v>
      </c>
      <c r="E75" s="4">
        <v>961.93</v>
      </c>
      <c r="F75" s="4">
        <v>742.77</v>
      </c>
      <c r="G75" s="6">
        <v>1973.62</v>
      </c>
      <c r="H75" s="10">
        <f t="shared" si="11"/>
        <v>1.3274557292120409E-2</v>
      </c>
      <c r="I75" s="10">
        <f t="shared" si="12"/>
        <v>4.8051736855249478E-3</v>
      </c>
      <c r="J75" s="10">
        <f t="shared" si="13"/>
        <v>7.4271542987240013E-3</v>
      </c>
      <c r="K75" s="10">
        <f t="shared" si="14"/>
        <v>1.3967005267773652E-2</v>
      </c>
      <c r="L75" s="10">
        <f t="shared" si="15"/>
        <v>1.0784851811196487E-2</v>
      </c>
      <c r="M75" t="s">
        <v>189</v>
      </c>
    </row>
    <row r="76" spans="1:13" ht="18" x14ac:dyDescent="0.2">
      <c r="A76" s="2" t="s">
        <v>75</v>
      </c>
      <c r="B76" s="6">
        <v>3972.02</v>
      </c>
      <c r="C76" s="6">
        <v>2345.4699999999998</v>
      </c>
      <c r="D76" s="6">
        <v>3276.42</v>
      </c>
      <c r="E76" s="6">
        <v>3935.11</v>
      </c>
      <c r="F76" s="6">
        <v>4592.04</v>
      </c>
      <c r="G76" s="6">
        <v>5522.22</v>
      </c>
      <c r="H76" s="10">
        <f t="shared" si="11"/>
        <v>5.7672828858339284E-2</v>
      </c>
      <c r="I76" s="10">
        <f t="shared" si="12"/>
        <v>3.4055692041422003E-2</v>
      </c>
      <c r="J76" s="10">
        <f t="shared" si="13"/>
        <v>4.7572874740822051E-2</v>
      </c>
      <c r="K76" s="10">
        <f t="shared" si="14"/>
        <v>5.7136904035916106E-2</v>
      </c>
      <c r="L76" s="10">
        <f t="shared" si="15"/>
        <v>6.6675378530482804E-2</v>
      </c>
      <c r="M76" t="s">
        <v>188</v>
      </c>
    </row>
    <row r="77" spans="1:13" ht="18" x14ac:dyDescent="0.2">
      <c r="A77" s="2" t="s">
        <v>76</v>
      </c>
      <c r="B77" s="4">
        <v>346.77</v>
      </c>
      <c r="C77" s="4">
        <v>203.34</v>
      </c>
      <c r="D77" s="4">
        <v>280.93</v>
      </c>
      <c r="E77" s="4">
        <v>326.85000000000002</v>
      </c>
      <c r="F77" s="4">
        <v>389.66</v>
      </c>
      <c r="G77" s="4">
        <v>517.98</v>
      </c>
      <c r="H77" s="10">
        <f t="shared" si="11"/>
        <v>5.0350216925409011E-3</v>
      </c>
      <c r="I77" s="10">
        <f t="shared" si="12"/>
        <v>2.9524506472914814E-3</v>
      </c>
      <c r="J77" s="10">
        <f t="shared" si="13"/>
        <v>4.0790398364492766E-3</v>
      </c>
      <c r="K77" s="10">
        <f t="shared" si="14"/>
        <v>4.7457878138448938E-3</v>
      </c>
      <c r="L77" s="10">
        <f t="shared" si="15"/>
        <v>5.657774757664988E-3</v>
      </c>
      <c r="M77" t="s">
        <v>189</v>
      </c>
    </row>
    <row r="78" spans="1:13" ht="18" x14ac:dyDescent="0.2">
      <c r="A78" s="2" t="s">
        <v>77</v>
      </c>
      <c r="B78" s="6">
        <v>1284.8599999999999</v>
      </c>
      <c r="C78" s="4">
        <v>875.02</v>
      </c>
      <c r="D78" s="6">
        <v>1121.1300000000001</v>
      </c>
      <c r="E78" s="6">
        <v>1267.43</v>
      </c>
      <c r="F78" s="6">
        <v>1450.03</v>
      </c>
      <c r="G78" s="6">
        <v>1663.26</v>
      </c>
      <c r="H78" s="10">
        <f t="shared" si="11"/>
        <v>1.8655875571353064E-2</v>
      </c>
      <c r="I78" s="10">
        <f t="shared" si="12"/>
        <v>1.2705091794005075E-2</v>
      </c>
      <c r="J78" s="10">
        <f t="shared" si="13"/>
        <v>1.6278553133657416E-2</v>
      </c>
      <c r="K78" s="10">
        <f t="shared" si="14"/>
        <v>1.840279592749406E-2</v>
      </c>
      <c r="L78" s="10">
        <f t="shared" si="15"/>
        <v>2.1054106482207468E-2</v>
      </c>
      <c r="M78" t="s">
        <v>188</v>
      </c>
    </row>
    <row r="79" spans="1:13" ht="18" x14ac:dyDescent="0.2">
      <c r="A79" s="2" t="s">
        <v>78</v>
      </c>
      <c r="B79" s="4">
        <v>50.35</v>
      </c>
      <c r="C79" s="4">
        <v>51.29</v>
      </c>
      <c r="D79" s="4">
        <v>50.51</v>
      </c>
      <c r="E79" s="4">
        <v>50.19</v>
      </c>
      <c r="F79" s="4">
        <v>45.92</v>
      </c>
      <c r="G79" s="4">
        <v>54.2</v>
      </c>
      <c r="H79" s="10">
        <f t="shared" si="11"/>
        <v>7.3107057190481995E-4</v>
      </c>
      <c r="I79" s="10">
        <f t="shared" si="12"/>
        <v>7.4471915855011349E-4</v>
      </c>
      <c r="J79" s="10">
        <f t="shared" si="13"/>
        <v>7.3339373558912514E-4</v>
      </c>
      <c r="K79" s="10">
        <f t="shared" si="14"/>
        <v>7.2874740822051465E-4</v>
      </c>
      <c r="L79" s="10">
        <f t="shared" si="15"/>
        <v>6.6674797739561733E-4</v>
      </c>
      <c r="M79" t="s">
        <v>189</v>
      </c>
    </row>
    <row r="80" spans="1:13" ht="18" x14ac:dyDescent="0.2">
      <c r="A80" s="2" t="s">
        <v>79</v>
      </c>
      <c r="B80" s="6">
        <v>1494.61</v>
      </c>
      <c r="C80" s="4">
        <v>814.04</v>
      </c>
      <c r="D80" s="6">
        <v>1205.3900000000001</v>
      </c>
      <c r="E80" s="6">
        <v>1555.27</v>
      </c>
      <c r="F80" s="6">
        <v>1789.46</v>
      </c>
      <c r="G80" s="6">
        <v>2023.42</v>
      </c>
      <c r="H80" s="10">
        <f t="shared" si="11"/>
        <v>2.1701397963747027E-2</v>
      </c>
      <c r="I80" s="10">
        <f t="shared" si="12"/>
        <v>1.1819676034824223E-2</v>
      </c>
      <c r="J80" s="10">
        <f t="shared" si="13"/>
        <v>1.7501989208904688E-2</v>
      </c>
      <c r="K80" s="10">
        <f t="shared" si="14"/>
        <v>2.258216739555927E-2</v>
      </c>
      <c r="L80" s="10">
        <f t="shared" si="15"/>
        <v>2.5982553040730865E-2</v>
      </c>
      <c r="M80" t="s">
        <v>189</v>
      </c>
    </row>
    <row r="81" spans="1:13" ht="18" x14ac:dyDescent="0.2">
      <c r="A81" s="2" t="s">
        <v>80</v>
      </c>
      <c r="B81" s="4">
        <v>214.66</v>
      </c>
      <c r="C81" s="4">
        <v>206.1</v>
      </c>
      <c r="D81" s="4">
        <v>225.88</v>
      </c>
      <c r="E81" s="4">
        <v>189.51</v>
      </c>
      <c r="F81" s="4">
        <v>195.8</v>
      </c>
      <c r="G81" s="4">
        <v>258.10000000000002</v>
      </c>
      <c r="H81" s="10">
        <f t="shared" si="11"/>
        <v>3.1168144779560804E-3</v>
      </c>
      <c r="I81" s="10">
        <f t="shared" si="12"/>
        <v>2.9925252208457473E-3</v>
      </c>
      <c r="J81" s="10">
        <f t="shared" si="13"/>
        <v>3.2797263313179884E-3</v>
      </c>
      <c r="K81" s="10">
        <f t="shared" si="14"/>
        <v>2.7516421863293429E-3</v>
      </c>
      <c r="L81" s="10">
        <f t="shared" si="15"/>
        <v>2.842971558668595E-3</v>
      </c>
      <c r="M81" t="s">
        <v>189</v>
      </c>
    </row>
    <row r="82" spans="1:13" ht="18" x14ac:dyDescent="0.2">
      <c r="A82" s="2" t="s">
        <v>81</v>
      </c>
      <c r="B82" s="6">
        <v>1279.95</v>
      </c>
      <c r="C82" s="4">
        <v>607.94000000000005</v>
      </c>
      <c r="D82" s="4">
        <v>979.51</v>
      </c>
      <c r="E82" s="6">
        <v>1365.75</v>
      </c>
      <c r="F82" s="6">
        <v>1593.66</v>
      </c>
      <c r="G82" s="6">
        <v>1765.31</v>
      </c>
      <c r="H82" s="10">
        <f t="shared" si="11"/>
        <v>1.8584583485790951E-2</v>
      </c>
      <c r="I82" s="10">
        <f t="shared" si="12"/>
        <v>8.8271508139784755E-3</v>
      </c>
      <c r="J82" s="10">
        <f t="shared" si="13"/>
        <v>1.4222262877586695E-2</v>
      </c>
      <c r="K82" s="10">
        <f t="shared" si="14"/>
        <v>1.9830380011499657E-2</v>
      </c>
      <c r="L82" s="10">
        <f t="shared" si="15"/>
        <v>2.3139581482062271E-2</v>
      </c>
      <c r="M82" t="s">
        <v>189</v>
      </c>
    </row>
    <row r="83" spans="1:13" ht="18" x14ac:dyDescent="0.2">
      <c r="A83" s="2" t="s">
        <v>82</v>
      </c>
      <c r="B83" s="4">
        <v>795.43</v>
      </c>
      <c r="C83" s="4">
        <v>401.78</v>
      </c>
      <c r="D83" s="4">
        <v>618.45000000000005</v>
      </c>
      <c r="E83" s="4">
        <v>735.37</v>
      </c>
      <c r="F83" s="4">
        <v>916.97</v>
      </c>
      <c r="G83" s="6">
        <v>1263.3599999999999</v>
      </c>
      <c r="H83" s="10">
        <f t="shared" si="11"/>
        <v>1.1549463058793463E-2</v>
      </c>
      <c r="I83" s="10">
        <f t="shared" si="12"/>
        <v>5.8337544067511128E-3</v>
      </c>
      <c r="J83" s="10">
        <f t="shared" si="13"/>
        <v>8.9797536284912799E-3</v>
      </c>
      <c r="K83" s="10">
        <f t="shared" si="14"/>
        <v>1.0677405490797367E-2</v>
      </c>
      <c r="L83" s="10">
        <f t="shared" si="15"/>
        <v>1.3314196272483867E-2</v>
      </c>
      <c r="M83" t="s">
        <v>188</v>
      </c>
    </row>
    <row r="84" spans="1:13" ht="18" x14ac:dyDescent="0.2">
      <c r="A84" s="2" t="s">
        <v>83</v>
      </c>
      <c r="B84" s="6">
        <v>1833.92</v>
      </c>
      <c r="C84" s="4">
        <v>716.91</v>
      </c>
      <c r="D84" s="6">
        <v>1073.3499999999999</v>
      </c>
      <c r="E84" s="6">
        <v>1201.24</v>
      </c>
      <c r="F84" s="6">
        <v>1640.38</v>
      </c>
      <c r="G84" s="6">
        <v>4461</v>
      </c>
      <c r="H84" s="10">
        <f t="shared" si="11"/>
        <v>2.6628102149507199E-2</v>
      </c>
      <c r="I84" s="10">
        <f t="shared" si="12"/>
        <v>1.0409370480720643E-2</v>
      </c>
      <c r="J84" s="10">
        <f t="shared" si="13"/>
        <v>1.5584798378431746E-2</v>
      </c>
      <c r="K84" s="10">
        <f t="shared" si="14"/>
        <v>1.7441732150843017E-2</v>
      </c>
      <c r="L84" s="10">
        <f t="shared" si="15"/>
        <v>2.3817945277879417E-2</v>
      </c>
      <c r="M84" t="s">
        <v>188</v>
      </c>
    </row>
    <row r="85" spans="1:13" ht="18" x14ac:dyDescent="0.2">
      <c r="A85" s="2" t="s">
        <v>177</v>
      </c>
      <c r="B85" s="4">
        <v>545.80999999999995</v>
      </c>
      <c r="C85" s="4">
        <v>109.74</v>
      </c>
      <c r="D85" s="4">
        <v>78.290000000000006</v>
      </c>
      <c r="E85" s="4">
        <v>187.57</v>
      </c>
      <c r="F85" s="4">
        <v>452.9</v>
      </c>
      <c r="G85" s="6">
        <v>1879.55</v>
      </c>
      <c r="H85" s="10">
        <f t="shared" si="11"/>
        <v>7.9250373158166777E-3</v>
      </c>
      <c r="I85" s="10">
        <f t="shared" si="12"/>
        <v>1.5933998919728885E-3</v>
      </c>
      <c r="J85" s="10">
        <f t="shared" si="13"/>
        <v>1.1367530302766307E-3</v>
      </c>
      <c r="K85" s="10">
        <f t="shared" si="14"/>
        <v>2.7234738266571413E-3</v>
      </c>
      <c r="L85" s="10">
        <f t="shared" si="15"/>
        <v>6.5760052038866517E-3</v>
      </c>
      <c r="M85" t="s">
        <v>189</v>
      </c>
    </row>
    <row r="86" spans="1:13" ht="18" x14ac:dyDescent="0.2">
      <c r="A86" s="2" t="s">
        <v>85</v>
      </c>
      <c r="B86" s="6">
        <v>1288.1099999999999</v>
      </c>
      <c r="C86" s="4">
        <v>607.16999999999996</v>
      </c>
      <c r="D86" s="4">
        <v>995.06</v>
      </c>
      <c r="E86" s="6">
        <v>1013.67</v>
      </c>
      <c r="F86" s="6">
        <v>1187.48</v>
      </c>
      <c r="G86" s="6">
        <v>2581.44</v>
      </c>
      <c r="H86" s="10">
        <f t="shared" si="11"/>
        <v>1.8703064833690518E-2</v>
      </c>
      <c r="I86" s="10">
        <f t="shared" si="12"/>
        <v>8.8159705887477548E-3</v>
      </c>
      <c r="J86" s="10">
        <f t="shared" si="13"/>
        <v>1.4448045348155115E-2</v>
      </c>
      <c r="K86" s="10">
        <f t="shared" si="14"/>
        <v>1.4718258324185874E-2</v>
      </c>
      <c r="L86" s="10">
        <f t="shared" si="15"/>
        <v>1.7241940073992761E-2</v>
      </c>
      <c r="M86" t="s">
        <v>189</v>
      </c>
    </row>
    <row r="87" spans="1:13" ht="18" x14ac:dyDescent="0.2">
      <c r="A87" s="2" t="s">
        <v>86</v>
      </c>
      <c r="B87" s="4">
        <v>779.76</v>
      </c>
      <c r="C87" s="4">
        <v>435.26</v>
      </c>
      <c r="D87" s="4">
        <v>607.74</v>
      </c>
      <c r="E87" s="4">
        <v>765.12</v>
      </c>
      <c r="F87" s="4">
        <v>747.02</v>
      </c>
      <c r="G87" s="6">
        <v>1228.26</v>
      </c>
      <c r="H87" s="10">
        <f t="shared" si="11"/>
        <v>1.1321938215461815E-2</v>
      </c>
      <c r="I87" s="10">
        <f t="shared" si="12"/>
        <v>6.3198764076919942E-3</v>
      </c>
      <c r="J87" s="10">
        <f t="shared" si="13"/>
        <v>8.8242468593730944E-3</v>
      </c>
      <c r="K87" s="10">
        <f t="shared" si="14"/>
        <v>1.1109368738347881E-2</v>
      </c>
      <c r="L87" s="10">
        <f t="shared" si="15"/>
        <v>1.0846560846560846E-2</v>
      </c>
      <c r="M87" t="s">
        <v>189</v>
      </c>
    </row>
    <row r="88" spans="1:13" ht="18" x14ac:dyDescent="0.2">
      <c r="A88" s="2" t="s">
        <v>87</v>
      </c>
      <c r="B88" s="4">
        <v>185.72</v>
      </c>
      <c r="C88" s="4">
        <v>129.01</v>
      </c>
      <c r="D88" s="4">
        <v>160.35</v>
      </c>
      <c r="E88" s="4">
        <v>164.12</v>
      </c>
      <c r="F88" s="4">
        <v>166.83</v>
      </c>
      <c r="G88" s="4">
        <v>285.14999999999998</v>
      </c>
      <c r="H88" s="10">
        <f t="shared" si="11"/>
        <v>2.6966122465573615E-3</v>
      </c>
      <c r="I88" s="10">
        <f t="shared" si="12"/>
        <v>1.8731959182014064E-3</v>
      </c>
      <c r="J88" s="10">
        <f t="shared" si="13"/>
        <v>2.3282456048647044E-3</v>
      </c>
      <c r="K88" s="10">
        <f t="shared" si="14"/>
        <v>2.3829851491761478E-3</v>
      </c>
      <c r="L88" s="10">
        <f t="shared" si="15"/>
        <v>2.4223337340790688E-3</v>
      </c>
      <c r="M88" t="s">
        <v>189</v>
      </c>
    </row>
    <row r="89" spans="1:13" ht="18" x14ac:dyDescent="0.2">
      <c r="A89" s="2" t="s">
        <v>89</v>
      </c>
      <c r="B89" s="4">
        <v>456.17</v>
      </c>
      <c r="C89" s="4">
        <v>207.96</v>
      </c>
      <c r="D89" s="4">
        <v>325.39999999999998</v>
      </c>
      <c r="E89" s="4">
        <v>504.12</v>
      </c>
      <c r="F89" s="4">
        <v>437.13</v>
      </c>
      <c r="G89" s="4">
        <v>732.15</v>
      </c>
      <c r="H89" s="10">
        <f t="shared" si="11"/>
        <v>6.6234848616846418E-3</v>
      </c>
      <c r="I89" s="10">
        <f t="shared" si="12"/>
        <v>3.0195319986757964E-3</v>
      </c>
      <c r="J89" s="10">
        <f t="shared" si="13"/>
        <v>4.7247341429558767E-3</v>
      </c>
      <c r="K89" s="10">
        <f t="shared" si="14"/>
        <v>7.319707978324882E-3</v>
      </c>
      <c r="L89" s="10">
        <f t="shared" si="15"/>
        <v>6.347028383252312E-3</v>
      </c>
      <c r="M89" t="s">
        <v>189</v>
      </c>
    </row>
    <row r="90" spans="1:13" ht="18" x14ac:dyDescent="0.2">
      <c r="A90" s="2" t="s">
        <v>90</v>
      </c>
      <c r="B90" s="4">
        <v>137.87</v>
      </c>
      <c r="C90" s="4">
        <v>98.28</v>
      </c>
      <c r="D90" s="4">
        <v>121.99</v>
      </c>
      <c r="E90" s="4">
        <v>96.88</v>
      </c>
      <c r="F90" s="4">
        <v>143.06</v>
      </c>
      <c r="G90" s="4">
        <v>210.96</v>
      </c>
      <c r="H90" s="10">
        <f t="shared" si="11"/>
        <v>2.0018411072198119E-3</v>
      </c>
      <c r="I90" s="10">
        <f t="shared" si="12"/>
        <v>1.4270032930845224E-3</v>
      </c>
      <c r="J90" s="10">
        <f t="shared" si="13"/>
        <v>1.771267111552512E-3</v>
      </c>
      <c r="K90" s="10">
        <f t="shared" si="14"/>
        <v>1.406675610846851E-3</v>
      </c>
      <c r="L90" s="10">
        <f t="shared" si="15"/>
        <v>2.0771987292294647E-3</v>
      </c>
      <c r="M90" t="s">
        <v>188</v>
      </c>
    </row>
    <row r="91" spans="1:13" ht="18" x14ac:dyDescent="0.2">
      <c r="A91" s="2" t="s">
        <v>91</v>
      </c>
      <c r="B91" s="6">
        <v>1879.19</v>
      </c>
      <c r="C91" s="4">
        <v>719.32</v>
      </c>
      <c r="D91" s="6">
        <v>1234.98</v>
      </c>
      <c r="E91" s="6">
        <v>1488.9</v>
      </c>
      <c r="F91" s="6">
        <v>2140.48</v>
      </c>
      <c r="G91" s="6">
        <v>3552.14</v>
      </c>
      <c r="H91" s="10">
        <f t="shared" si="11"/>
        <v>2.7285412274435324E-2</v>
      </c>
      <c r="I91" s="10">
        <f t="shared" si="12"/>
        <v>1.0444363133715493E-2</v>
      </c>
      <c r="J91" s="10">
        <f t="shared" si="13"/>
        <v>1.7931629292770895E-2</v>
      </c>
      <c r="K91" s="10">
        <f t="shared" si="14"/>
        <v>2.1618490059763386E-2</v>
      </c>
      <c r="L91" s="10">
        <f t="shared" si="15"/>
        <v>3.1079283768636126E-2</v>
      </c>
      <c r="M91" t="s">
        <v>189</v>
      </c>
    </row>
    <row r="92" spans="1:13" ht="18" x14ac:dyDescent="0.2">
      <c r="A92" s="2" t="s">
        <v>92</v>
      </c>
      <c r="B92" s="4">
        <v>97.53</v>
      </c>
      <c r="C92" s="4">
        <v>66.39</v>
      </c>
      <c r="D92" s="4">
        <v>71.59</v>
      </c>
      <c r="E92" s="4">
        <v>96.03</v>
      </c>
      <c r="F92" s="4">
        <v>107.13</v>
      </c>
      <c r="G92" s="4">
        <v>136.47</v>
      </c>
      <c r="H92" s="10">
        <f t="shared" si="11"/>
        <v>1.4161134633143414E-3</v>
      </c>
      <c r="I92" s="10">
        <f t="shared" si="12"/>
        <v>9.6396773125642491E-4</v>
      </c>
      <c r="J92" s="10">
        <f t="shared" si="13"/>
        <v>1.0394705509963469E-3</v>
      </c>
      <c r="K92" s="10">
        <f t="shared" si="14"/>
        <v>1.3943338037739792E-3</v>
      </c>
      <c r="L92" s="10">
        <f t="shared" si="15"/>
        <v>1.5555032843726584E-3</v>
      </c>
      <c r="M92" t="s">
        <v>189</v>
      </c>
    </row>
    <row r="93" spans="1:13" ht="18" x14ac:dyDescent="0.2">
      <c r="A93" s="2" t="s">
        <v>93</v>
      </c>
      <c r="B93" s="4">
        <v>476.92</v>
      </c>
      <c r="C93" s="4">
        <v>189.59</v>
      </c>
      <c r="D93" s="4">
        <v>331.66</v>
      </c>
      <c r="E93" s="4">
        <v>374.62</v>
      </c>
      <c r="F93" s="4">
        <v>535.55999999999995</v>
      </c>
      <c r="G93" s="4">
        <v>927.92</v>
      </c>
      <c r="H93" s="10">
        <f t="shared" si="11"/>
        <v>6.9247701519929835E-3</v>
      </c>
      <c r="I93" s="10">
        <f t="shared" si="12"/>
        <v>2.7528037681714959E-3</v>
      </c>
      <c r="J93" s="10">
        <f t="shared" si="13"/>
        <v>4.815627922104322E-3</v>
      </c>
      <c r="K93" s="10">
        <f t="shared" si="14"/>
        <v>5.4393973713402904E-3</v>
      </c>
      <c r="L93" s="10">
        <f t="shared" si="15"/>
        <v>7.7762096422908699E-3</v>
      </c>
      <c r="M93" t="s">
        <v>189</v>
      </c>
    </row>
    <row r="94" spans="1:13" ht="18" x14ac:dyDescent="0.2">
      <c r="A94" s="2" t="s">
        <v>94</v>
      </c>
      <c r="B94" s="4">
        <v>27.1</v>
      </c>
      <c r="C94" s="4">
        <v>16.079999999999998</v>
      </c>
      <c r="D94" s="4">
        <v>23.4</v>
      </c>
      <c r="E94" s="4">
        <v>8.39</v>
      </c>
      <c r="F94" s="4">
        <v>32.04</v>
      </c>
      <c r="G94" s="4">
        <v>55.32</v>
      </c>
      <c r="H94" s="10">
        <f t="shared" si="11"/>
        <v>3.9348584902920795E-4</v>
      </c>
      <c r="I94" s="10">
        <f t="shared" si="12"/>
        <v>2.3347795027268129E-4</v>
      </c>
      <c r="J94" s="10">
        <f t="shared" si="13"/>
        <v>3.3976268882964818E-4</v>
      </c>
      <c r="K94" s="10">
        <f t="shared" si="14"/>
        <v>1.2182089569575848E-4</v>
      </c>
      <c r="L94" s="10">
        <f t="shared" si="15"/>
        <v>4.6521352778213366E-4</v>
      </c>
      <c r="M94" t="s">
        <v>189</v>
      </c>
    </row>
    <row r="95" spans="1:13" ht="18" x14ac:dyDescent="0.2">
      <c r="A95" s="2" t="s">
        <v>95</v>
      </c>
      <c r="B95" s="4">
        <v>277.51</v>
      </c>
      <c r="C95" s="4">
        <v>74.180000000000007</v>
      </c>
      <c r="D95" s="4">
        <v>210.76</v>
      </c>
      <c r="E95" s="4">
        <v>265.47000000000003</v>
      </c>
      <c r="F95" s="4">
        <v>301.64</v>
      </c>
      <c r="G95" s="4">
        <v>513.54999999999995</v>
      </c>
      <c r="H95" s="10">
        <f t="shared" si="11"/>
        <v>4.0293822126972511E-3</v>
      </c>
      <c r="I95" s="10">
        <f t="shared" si="12"/>
        <v>1.0770767631360387E-3</v>
      </c>
      <c r="J95" s="10">
        <f t="shared" si="13"/>
        <v>3.0601873631511387E-3</v>
      </c>
      <c r="K95" s="10">
        <f t="shared" si="14"/>
        <v>3.8545641454532783E-3</v>
      </c>
      <c r="L95" s="10">
        <f t="shared" si="15"/>
        <v>4.3797443358365414E-3</v>
      </c>
      <c r="M95" t="s">
        <v>189</v>
      </c>
    </row>
    <row r="96" spans="1:13" ht="18" x14ac:dyDescent="0.2">
      <c r="A96" s="2" t="s">
        <v>178</v>
      </c>
      <c r="B96" s="4">
        <v>124.9</v>
      </c>
      <c r="C96" s="4">
        <v>74.099999999999994</v>
      </c>
      <c r="D96" s="4">
        <v>126.82</v>
      </c>
      <c r="E96" s="4">
        <v>76.72</v>
      </c>
      <c r="F96" s="4">
        <v>112.54</v>
      </c>
      <c r="G96" s="4">
        <v>217.44</v>
      </c>
      <c r="H96" s="10">
        <f t="shared" si="11"/>
        <v>1.8135196510608146E-3</v>
      </c>
      <c r="I96" s="10">
        <f t="shared" si="12"/>
        <v>1.0759151812938859E-3</v>
      </c>
      <c r="J96" s="10">
        <f t="shared" si="13"/>
        <v>1.8413976152724778E-3</v>
      </c>
      <c r="K96" s="10">
        <f t="shared" si="14"/>
        <v>1.113956986624385E-3</v>
      </c>
      <c r="L96" s="10">
        <f t="shared" si="15"/>
        <v>1.6340552564482311E-3</v>
      </c>
      <c r="M96" t="s">
        <v>189</v>
      </c>
    </row>
    <row r="97" spans="1:13" ht="18" x14ac:dyDescent="0.2">
      <c r="A97" s="2" t="s">
        <v>97</v>
      </c>
      <c r="B97" s="4">
        <v>875.23</v>
      </c>
      <c r="C97" s="4">
        <v>298.99</v>
      </c>
      <c r="D97" s="4">
        <v>470.75</v>
      </c>
      <c r="E97" s="4">
        <v>667.68</v>
      </c>
      <c r="F97" s="6">
        <v>1051.58</v>
      </c>
      <c r="G97" s="6">
        <v>1701.44</v>
      </c>
      <c r="H97" s="10">
        <f t="shared" si="11"/>
        <v>1.2708140946340726E-2</v>
      </c>
      <c r="I97" s="10">
        <f t="shared" si="12"/>
        <v>4.3412669373152357E-3</v>
      </c>
      <c r="J97" s="10">
        <f t="shared" si="13"/>
        <v>6.8351831524169609E-3</v>
      </c>
      <c r="K97" s="10">
        <f t="shared" si="14"/>
        <v>9.6945620546059607E-3</v>
      </c>
      <c r="L97" s="10">
        <f t="shared" si="15"/>
        <v>1.5268702919635958E-2</v>
      </c>
      <c r="M97" t="s">
        <v>189</v>
      </c>
    </row>
    <row r="98" spans="1:13" ht="18" x14ac:dyDescent="0.2">
      <c r="A98" s="1"/>
      <c r="H98" s="10"/>
      <c r="I98" s="10"/>
      <c r="J98" s="10"/>
      <c r="K98" s="10"/>
      <c r="L98" s="10"/>
    </row>
    <row r="99" spans="1:13" ht="18" x14ac:dyDescent="0.2">
      <c r="A99" s="2" t="s">
        <v>98</v>
      </c>
      <c r="B99" s="6">
        <v>2052.36</v>
      </c>
      <c r="C99" s="4">
        <v>853.4</v>
      </c>
      <c r="D99" s="6">
        <v>1403.99</v>
      </c>
      <c r="E99" s="6">
        <v>1281.28</v>
      </c>
      <c r="F99" s="6">
        <v>2349.64</v>
      </c>
      <c r="G99" s="6">
        <v>3949.78</v>
      </c>
      <c r="H99" s="10">
        <f t="shared" si="11"/>
        <v>2.979980136950499E-2</v>
      </c>
      <c r="I99" s="10">
        <f t="shared" si="12"/>
        <v>1.2391174301163323E-2</v>
      </c>
      <c r="J99" s="10">
        <f t="shared" si="13"/>
        <v>2.0385616132048621E-2</v>
      </c>
      <c r="K99" s="10">
        <f t="shared" si="14"/>
        <v>1.8603894783916736E-2</v>
      </c>
      <c r="L99" s="10">
        <f t="shared" si="15"/>
        <v>3.411623949494421E-2</v>
      </c>
      <c r="M99" t="s">
        <v>189</v>
      </c>
    </row>
    <row r="100" spans="1:13" ht="18" x14ac:dyDescent="0.2">
      <c r="A100" s="2" t="s">
        <v>99</v>
      </c>
      <c r="B100" s="4">
        <v>509.39</v>
      </c>
      <c r="C100" s="4">
        <v>157.41999999999999</v>
      </c>
      <c r="D100" s="4">
        <v>367.87</v>
      </c>
      <c r="E100" s="4">
        <v>301.83999999999997</v>
      </c>
      <c r="F100" s="4">
        <v>643.9</v>
      </c>
      <c r="G100" s="4">
        <v>972.19</v>
      </c>
      <c r="H100" s="10"/>
      <c r="I100" s="10"/>
      <c r="J100" s="10"/>
      <c r="K100" s="10"/>
      <c r="L100" s="10"/>
    </row>
    <row r="101" spans="1:13" ht="18" x14ac:dyDescent="0.2">
      <c r="A101" s="2" t="s">
        <v>100</v>
      </c>
      <c r="B101" s="4">
        <v>430.51</v>
      </c>
      <c r="C101" s="4">
        <v>124.93</v>
      </c>
      <c r="D101" s="4">
        <v>322.14</v>
      </c>
      <c r="E101" s="4">
        <v>246.59</v>
      </c>
      <c r="F101" s="4">
        <v>556.71</v>
      </c>
      <c r="G101" s="4">
        <v>811.36</v>
      </c>
      <c r="H101" s="10"/>
      <c r="I101" s="10"/>
      <c r="J101" s="10"/>
      <c r="K101" s="10"/>
      <c r="L101" s="10"/>
    </row>
    <row r="102" spans="1:13" ht="18" x14ac:dyDescent="0.2">
      <c r="A102" s="2" t="s">
        <v>101</v>
      </c>
      <c r="B102" s="4">
        <v>78.88</v>
      </c>
      <c r="C102" s="4">
        <v>32.5</v>
      </c>
      <c r="D102" s="4">
        <v>45.73</v>
      </c>
      <c r="E102" s="4">
        <v>55.25</v>
      </c>
      <c r="F102" s="4">
        <v>87.19</v>
      </c>
      <c r="G102" s="4">
        <v>160.83000000000001</v>
      </c>
      <c r="H102" s="10"/>
      <c r="I102" s="10"/>
      <c r="J102" s="10"/>
      <c r="K102" s="10"/>
      <c r="L102" s="10"/>
    </row>
    <row r="103" spans="1:13" ht="18" x14ac:dyDescent="0.2">
      <c r="A103" s="2" t="s">
        <v>102</v>
      </c>
      <c r="B103" s="4">
        <v>762.07</v>
      </c>
      <c r="C103" s="4">
        <v>271.25</v>
      </c>
      <c r="D103" s="4">
        <v>413.25</v>
      </c>
      <c r="E103" s="4">
        <v>502.29</v>
      </c>
      <c r="F103" s="4">
        <v>751.73</v>
      </c>
      <c r="G103" s="6">
        <v>1653.81</v>
      </c>
      <c r="H103" s="10"/>
      <c r="I103" s="10"/>
      <c r="J103" s="10"/>
      <c r="K103" s="10"/>
      <c r="L103" s="10"/>
    </row>
    <row r="104" spans="1:13" ht="18" x14ac:dyDescent="0.2">
      <c r="A104" s="2" t="s">
        <v>103</v>
      </c>
      <c r="B104" s="4">
        <v>642.78</v>
      </c>
      <c r="C104" s="4">
        <v>222.35</v>
      </c>
      <c r="D104" s="4">
        <v>355.91</v>
      </c>
      <c r="E104" s="4">
        <v>433.17</v>
      </c>
      <c r="F104" s="4">
        <v>649.35</v>
      </c>
      <c r="G104" s="6">
        <v>1370.55</v>
      </c>
      <c r="H104" s="10"/>
      <c r="I104" s="10"/>
      <c r="J104" s="10"/>
      <c r="K104" s="10"/>
      <c r="L104" s="10"/>
    </row>
    <row r="105" spans="1:13" ht="18" x14ac:dyDescent="0.2">
      <c r="A105" s="2" t="s">
        <v>104</v>
      </c>
      <c r="B105" s="4">
        <v>119.29</v>
      </c>
      <c r="C105" s="4">
        <v>48.9</v>
      </c>
      <c r="D105" s="4">
        <v>57.34</v>
      </c>
      <c r="E105" s="4">
        <v>69.12</v>
      </c>
      <c r="F105" s="4">
        <v>102.39</v>
      </c>
      <c r="G105" s="4">
        <v>283.26</v>
      </c>
      <c r="H105" s="10"/>
      <c r="I105" s="10"/>
      <c r="J105" s="10"/>
      <c r="K105" s="10"/>
      <c r="L105" s="10"/>
    </row>
    <row r="106" spans="1:13" ht="18" x14ac:dyDescent="0.2">
      <c r="A106" s="2" t="s">
        <v>105</v>
      </c>
      <c r="B106" s="4">
        <v>58.85</v>
      </c>
      <c r="C106" s="4">
        <v>57.18</v>
      </c>
      <c r="D106" s="4">
        <v>37.159999999999997</v>
      </c>
      <c r="E106" s="4">
        <v>29.37</v>
      </c>
      <c r="F106" s="4">
        <v>89.06</v>
      </c>
      <c r="G106" s="4">
        <v>75.239999999999995</v>
      </c>
      <c r="H106" s="10"/>
      <c r="I106" s="10"/>
      <c r="J106" s="10"/>
      <c r="K106" s="10"/>
      <c r="L106" s="10"/>
    </row>
    <row r="107" spans="1:13" ht="18" x14ac:dyDescent="0.2">
      <c r="A107" s="2" t="s">
        <v>106</v>
      </c>
      <c r="B107" s="4">
        <v>455.36</v>
      </c>
      <c r="C107" s="4">
        <v>212.11</v>
      </c>
      <c r="D107" s="4">
        <v>409.66</v>
      </c>
      <c r="E107" s="4">
        <v>279.75</v>
      </c>
      <c r="F107" s="4">
        <v>593.54</v>
      </c>
      <c r="G107" s="4">
        <v>705</v>
      </c>
      <c r="H107" s="10"/>
      <c r="I107" s="10"/>
      <c r="J107" s="10"/>
      <c r="K107" s="10"/>
      <c r="L107" s="10"/>
    </row>
    <row r="108" spans="1:13" ht="18" x14ac:dyDescent="0.2">
      <c r="A108" s="2" t="s">
        <v>107</v>
      </c>
      <c r="B108" s="4">
        <v>266.69</v>
      </c>
      <c r="C108" s="4">
        <v>155.44</v>
      </c>
      <c r="D108" s="4">
        <v>176.04</v>
      </c>
      <c r="E108" s="4">
        <v>168.04</v>
      </c>
      <c r="F108" s="4">
        <v>271.41000000000003</v>
      </c>
      <c r="G108" s="4">
        <v>543.54</v>
      </c>
      <c r="H108" s="10"/>
      <c r="I108" s="10"/>
      <c r="J108" s="10"/>
      <c r="K108" s="10"/>
      <c r="L108" s="10"/>
    </row>
    <row r="109" spans="1:13" ht="18" x14ac:dyDescent="0.2">
      <c r="A109" s="1"/>
      <c r="H109" s="10"/>
      <c r="I109" s="10"/>
      <c r="J109" s="10"/>
      <c r="K109" s="10"/>
      <c r="L109" s="10"/>
    </row>
    <row r="110" spans="1:13" ht="18" x14ac:dyDescent="0.2">
      <c r="A110" s="2" t="s">
        <v>108</v>
      </c>
      <c r="B110" s="6">
        <v>9285.7000000000007</v>
      </c>
      <c r="C110" s="6">
        <v>3854.44</v>
      </c>
      <c r="D110" s="6">
        <v>5882.59</v>
      </c>
      <c r="E110" s="6">
        <v>7889.48</v>
      </c>
      <c r="F110" s="6">
        <v>10593.86</v>
      </c>
      <c r="G110" s="6">
        <v>17514.39</v>
      </c>
      <c r="H110" s="10">
        <f t="shared" si="11"/>
        <v>0.13482625639596002</v>
      </c>
      <c r="I110" s="10">
        <f t="shared" si="12"/>
        <v>5.5965593945835432E-2</v>
      </c>
      <c r="J110" s="10">
        <f t="shared" si="13"/>
        <v>8.5413871610358988E-2</v>
      </c>
      <c r="K110" s="10">
        <f t="shared" si="14"/>
        <v>0.11455345890033046</v>
      </c>
      <c r="L110" s="10">
        <f t="shared" si="15"/>
        <v>0.15382044267884004</v>
      </c>
      <c r="M110" t="s">
        <v>189</v>
      </c>
    </row>
    <row r="111" spans="1:13" ht="18" x14ac:dyDescent="0.2">
      <c r="A111" s="2" t="s">
        <v>109</v>
      </c>
      <c r="B111" s="6">
        <v>3264.42</v>
      </c>
      <c r="C111" s="6">
        <v>1249.47</v>
      </c>
      <c r="D111" s="6">
        <v>1525.99</v>
      </c>
      <c r="E111" s="6">
        <v>2334.0300000000002</v>
      </c>
      <c r="F111" s="6">
        <v>3633.68</v>
      </c>
      <c r="G111" s="6">
        <v>7400.94</v>
      </c>
      <c r="H111" s="10"/>
      <c r="I111" s="10"/>
      <c r="J111" s="10"/>
      <c r="K111" s="10"/>
      <c r="L111" s="10"/>
    </row>
    <row r="112" spans="1:13" ht="18" x14ac:dyDescent="0.2">
      <c r="A112" s="2" t="s">
        <v>110</v>
      </c>
      <c r="B112" s="6">
        <v>1615.56</v>
      </c>
      <c r="C112" s="4">
        <v>587.98</v>
      </c>
      <c r="D112" s="4">
        <v>485.51</v>
      </c>
      <c r="E112" s="4">
        <v>958.57</v>
      </c>
      <c r="F112" s="6">
        <v>1488.27</v>
      </c>
      <c r="G112" s="6">
        <v>4491.1499999999996</v>
      </c>
      <c r="H112" s="10"/>
      <c r="I112" s="10"/>
      <c r="J112" s="10"/>
      <c r="K112" s="10"/>
      <c r="L112" s="10"/>
    </row>
    <row r="113" spans="1:13" ht="18" x14ac:dyDescent="0.2">
      <c r="A113" s="2" t="s">
        <v>111</v>
      </c>
      <c r="B113" s="6">
        <v>1593.99</v>
      </c>
      <c r="C113" s="4">
        <v>661.48</v>
      </c>
      <c r="D113" s="6">
        <v>1001.14</v>
      </c>
      <c r="E113" s="6">
        <v>1263.1600000000001</v>
      </c>
      <c r="F113" s="6">
        <v>2093.89</v>
      </c>
      <c r="G113" s="6">
        <v>2846.62</v>
      </c>
      <c r="H113" s="10"/>
      <c r="I113" s="10"/>
      <c r="J113" s="10"/>
      <c r="K113" s="10"/>
      <c r="L113" s="10"/>
    </row>
    <row r="114" spans="1:13" ht="18" x14ac:dyDescent="0.2">
      <c r="A114" s="2" t="s">
        <v>112</v>
      </c>
      <c r="B114" s="4">
        <v>54.87</v>
      </c>
      <c r="C114" s="4"/>
      <c r="D114" s="4">
        <v>39.33</v>
      </c>
      <c r="E114" s="4">
        <v>112.3</v>
      </c>
      <c r="F114" s="4">
        <v>51.52</v>
      </c>
      <c r="G114" s="4">
        <v>63.17</v>
      </c>
      <c r="H114" s="10"/>
      <c r="I114" s="10"/>
      <c r="J114" s="10"/>
      <c r="K114" s="10"/>
      <c r="L114" s="10"/>
    </row>
    <row r="115" spans="1:13" ht="18" x14ac:dyDescent="0.2">
      <c r="A115" s="2" t="s">
        <v>113</v>
      </c>
      <c r="B115" s="6">
        <v>2474.87</v>
      </c>
      <c r="C115" s="6">
        <v>1210.67</v>
      </c>
      <c r="D115" s="6">
        <v>2084.12</v>
      </c>
      <c r="E115" s="6">
        <v>2423.2800000000002</v>
      </c>
      <c r="F115" s="6">
        <v>3040.87</v>
      </c>
      <c r="G115" s="6">
        <v>3468.01</v>
      </c>
      <c r="H115" s="10"/>
      <c r="I115" s="10"/>
      <c r="J115" s="10"/>
      <c r="K115" s="10"/>
      <c r="L115" s="10"/>
    </row>
    <row r="116" spans="1:13" ht="18" x14ac:dyDescent="0.2">
      <c r="A116" s="2" t="s">
        <v>115</v>
      </c>
      <c r="B116" s="6">
        <v>2565.15</v>
      </c>
      <c r="C116" s="6">
        <v>1065.47</v>
      </c>
      <c r="D116" s="6">
        <v>1578.87</v>
      </c>
      <c r="E116" s="6">
        <v>2212.4499999999998</v>
      </c>
      <c r="F116" s="6">
        <v>2841.8</v>
      </c>
      <c r="G116" s="6">
        <v>4832.96</v>
      </c>
      <c r="H116" s="10"/>
      <c r="I116" s="10"/>
      <c r="J116" s="10"/>
      <c r="K116" s="10"/>
      <c r="L116" s="10"/>
    </row>
    <row r="117" spans="1:13" ht="18" x14ac:dyDescent="0.2">
      <c r="A117" s="2" t="s">
        <v>116</v>
      </c>
      <c r="B117" s="4">
        <v>176.91</v>
      </c>
      <c r="C117" s="4">
        <v>38.03</v>
      </c>
      <c r="D117" s="4">
        <v>91.51</v>
      </c>
      <c r="E117" s="4">
        <v>176.24</v>
      </c>
      <c r="F117" s="4">
        <v>234.69</v>
      </c>
      <c r="G117" s="4">
        <v>326.97000000000003</v>
      </c>
      <c r="H117" s="10"/>
      <c r="I117" s="10"/>
      <c r="J117" s="10"/>
      <c r="K117" s="10"/>
      <c r="L117" s="10"/>
    </row>
    <row r="118" spans="1:13" ht="18" x14ac:dyDescent="0.2">
      <c r="A118" s="2" t="s">
        <v>117</v>
      </c>
      <c r="B118" s="4">
        <v>874.79</v>
      </c>
      <c r="C118" s="4">
        <v>444.36</v>
      </c>
      <c r="D118" s="4">
        <v>647.86</v>
      </c>
      <c r="E118" s="4">
        <v>825.45</v>
      </c>
      <c r="F118" s="4">
        <v>966.09</v>
      </c>
      <c r="G118" s="6">
        <v>1417.06</v>
      </c>
      <c r="H118" s="10"/>
      <c r="I118" s="10"/>
      <c r="J118" s="10"/>
      <c r="K118" s="10"/>
      <c r="L118" s="10"/>
    </row>
    <row r="119" spans="1:13" ht="18" x14ac:dyDescent="0.2">
      <c r="A119" s="2" t="s">
        <v>119</v>
      </c>
      <c r="B119" s="4">
        <v>745.27</v>
      </c>
      <c r="C119" s="4">
        <v>306.13</v>
      </c>
      <c r="D119" s="4">
        <v>466.2</v>
      </c>
      <c r="E119" s="4">
        <v>517.98</v>
      </c>
      <c r="F119" s="4">
        <v>977.43</v>
      </c>
      <c r="G119" s="6">
        <v>1294.1500000000001</v>
      </c>
      <c r="H119" s="10"/>
      <c r="I119" s="10"/>
      <c r="J119" s="10"/>
      <c r="K119" s="10"/>
      <c r="L119" s="10"/>
    </row>
    <row r="120" spans="1:13" ht="18" x14ac:dyDescent="0.2">
      <c r="A120" s="2" t="s">
        <v>118</v>
      </c>
      <c r="B120" s="4">
        <v>768.18</v>
      </c>
      <c r="C120" s="4">
        <v>276.95999999999998</v>
      </c>
      <c r="D120" s="4">
        <v>373.29</v>
      </c>
      <c r="E120" s="4">
        <v>692.78</v>
      </c>
      <c r="F120" s="4">
        <v>663.59</v>
      </c>
      <c r="G120" s="6">
        <v>1794.78</v>
      </c>
      <c r="H120" s="10"/>
      <c r="I120" s="10"/>
      <c r="J120" s="10"/>
      <c r="K120" s="10"/>
      <c r="L120" s="10"/>
    </row>
    <row r="121" spans="1:13" ht="18" x14ac:dyDescent="0.2">
      <c r="A121" s="2" t="s">
        <v>120</v>
      </c>
      <c r="B121" s="4">
        <v>981.26</v>
      </c>
      <c r="C121" s="4">
        <v>328.84</v>
      </c>
      <c r="D121" s="4">
        <v>693.62</v>
      </c>
      <c r="E121" s="4">
        <v>919.72</v>
      </c>
      <c r="F121" s="6">
        <v>1077.52</v>
      </c>
      <c r="G121" s="6">
        <v>1812.47</v>
      </c>
      <c r="H121" s="10"/>
      <c r="I121" s="10"/>
      <c r="J121" s="10"/>
      <c r="K121" s="10"/>
      <c r="L121" s="10"/>
    </row>
    <row r="122" spans="1:13" ht="18" x14ac:dyDescent="0.2">
      <c r="A122" s="1"/>
      <c r="H122" s="10"/>
      <c r="I122" s="10"/>
      <c r="J122" s="10"/>
      <c r="K122" s="10"/>
      <c r="L122" s="10"/>
    </row>
    <row r="123" spans="1:13" ht="18" x14ac:dyDescent="0.2">
      <c r="A123" s="2" t="s">
        <v>121</v>
      </c>
      <c r="B123" s="6">
        <v>4495.62</v>
      </c>
      <c r="C123" s="6">
        <v>2589.73</v>
      </c>
      <c r="D123" s="6">
        <v>3595.17</v>
      </c>
      <c r="E123" s="6">
        <v>4099.7</v>
      </c>
      <c r="F123" s="6">
        <v>5063.68</v>
      </c>
      <c r="G123" s="6">
        <v>6917.72</v>
      </c>
      <c r="H123" s="10">
        <f t="shared" si="11"/>
        <v>6.5275382015228325E-2</v>
      </c>
      <c r="I123" s="10">
        <f t="shared" si="12"/>
        <v>3.7602291800974567E-2</v>
      </c>
      <c r="J123" s="10">
        <f t="shared" si="13"/>
        <v>5.220105239314899E-2</v>
      </c>
      <c r="K123" s="10">
        <f t="shared" si="14"/>
        <v>5.95267134784149E-2</v>
      </c>
      <c r="L123" s="10">
        <f t="shared" si="15"/>
        <v>7.3523484280893725E-2</v>
      </c>
      <c r="M123" t="s">
        <v>188</v>
      </c>
    </row>
    <row r="124" spans="1:13" ht="18" x14ac:dyDescent="0.2">
      <c r="A124" s="2" t="s">
        <v>122</v>
      </c>
      <c r="B124" s="6">
        <v>3153.43</v>
      </c>
      <c r="C124" s="6">
        <v>1860.94</v>
      </c>
      <c r="D124" s="6">
        <v>2495.04</v>
      </c>
      <c r="E124" s="6">
        <v>2925.78</v>
      </c>
      <c r="F124" s="6">
        <v>3620.83</v>
      </c>
      <c r="G124" s="6">
        <v>4725.07</v>
      </c>
      <c r="H124" s="10">
        <f t="shared" si="11"/>
        <v>4.5787087856242623E-2</v>
      </c>
      <c r="I124" s="10">
        <f t="shared" si="12"/>
        <v>2.7020426416694252E-2</v>
      </c>
      <c r="J124" s="10">
        <f t="shared" si="13"/>
        <v>3.6227414493056644E-2</v>
      </c>
      <c r="K124" s="10">
        <f t="shared" si="14"/>
        <v>4.2481661526667013E-2</v>
      </c>
      <c r="L124" s="10">
        <f t="shared" si="15"/>
        <v>5.2573629769019442E-2</v>
      </c>
    </row>
    <row r="125" spans="1:13" ht="18" x14ac:dyDescent="0.2">
      <c r="A125" s="2" t="s">
        <v>123</v>
      </c>
      <c r="B125" s="4">
        <v>795.29</v>
      </c>
      <c r="C125" s="4">
        <v>342.36</v>
      </c>
      <c r="D125" s="4">
        <v>593.13</v>
      </c>
      <c r="E125" s="4">
        <v>700.05</v>
      </c>
      <c r="F125" s="4">
        <v>854.91</v>
      </c>
      <c r="G125" s="6">
        <v>1444.99</v>
      </c>
      <c r="H125" s="10">
        <f t="shared" si="11"/>
        <v>1.1547430290569696E-2</v>
      </c>
      <c r="I125" s="10">
        <f t="shared" si="12"/>
        <v>4.9709894934922378E-3</v>
      </c>
      <c r="J125" s="10">
        <f t="shared" si="13"/>
        <v>8.6121129754499672E-3</v>
      </c>
      <c r="K125" s="10">
        <f t="shared" si="14"/>
        <v>1.0164567107486974E-2</v>
      </c>
      <c r="L125" s="10">
        <f t="shared" si="15"/>
        <v>1.2413099158433954E-2</v>
      </c>
    </row>
    <row r="126" spans="1:13" ht="18" x14ac:dyDescent="0.2">
      <c r="A126" s="2" t="s">
        <v>124</v>
      </c>
      <c r="B126" s="4">
        <v>400.66</v>
      </c>
      <c r="C126" s="4">
        <v>313.67</v>
      </c>
      <c r="D126" s="4">
        <v>364.33</v>
      </c>
      <c r="E126" s="4">
        <v>309.68</v>
      </c>
      <c r="F126" s="4">
        <v>464.28</v>
      </c>
      <c r="G126" s="4">
        <v>532.54999999999995</v>
      </c>
      <c r="H126" s="10">
        <f t="shared" si="11"/>
        <v>5.8174922609609764E-3</v>
      </c>
      <c r="I126" s="10">
        <f t="shared" si="12"/>
        <v>4.5544172053502462E-3</v>
      </c>
      <c r="J126" s="10">
        <f t="shared" si="13"/>
        <v>5.2899889068934065E-3</v>
      </c>
      <c r="K126" s="10">
        <f t="shared" si="14"/>
        <v>4.4964833109728828E-3</v>
      </c>
      <c r="L126" s="10">
        <f t="shared" si="15"/>
        <v>6.7412402209328657E-3</v>
      </c>
    </row>
    <row r="127" spans="1:13" ht="18" x14ac:dyDescent="0.2">
      <c r="A127" s="2" t="s">
        <v>125</v>
      </c>
      <c r="B127" s="4">
        <v>146.22999999999999</v>
      </c>
      <c r="C127" s="4">
        <v>72.75</v>
      </c>
      <c r="D127" s="4">
        <v>142.66999999999999</v>
      </c>
      <c r="E127" s="4">
        <v>164.19</v>
      </c>
      <c r="F127" s="4">
        <v>123.65</v>
      </c>
      <c r="G127" s="4">
        <v>215.12</v>
      </c>
      <c r="H127" s="10">
        <f t="shared" si="11"/>
        <v>2.123226409724763E-3</v>
      </c>
      <c r="I127" s="10">
        <f t="shared" si="12"/>
        <v>1.05631348770756E-3</v>
      </c>
      <c r="J127" s="10">
        <f t="shared" si="13"/>
        <v>2.0715360177489704E-3</v>
      </c>
      <c r="K127" s="10">
        <f t="shared" si="14"/>
        <v>2.3840015332880315E-3</v>
      </c>
      <c r="L127" s="10">
        <f t="shared" si="15"/>
        <v>1.7953699347771795E-3</v>
      </c>
    </row>
    <row r="128" spans="1:13" ht="18" x14ac:dyDescent="0.2">
      <c r="A128" s="1"/>
      <c r="H128" s="10">
        <f t="shared" si="11"/>
        <v>0</v>
      </c>
      <c r="I128" s="10">
        <f t="shared" si="12"/>
        <v>0</v>
      </c>
      <c r="J128" s="10">
        <f t="shared" si="13"/>
        <v>0</v>
      </c>
      <c r="K128" s="10">
        <f t="shared" si="14"/>
        <v>0</v>
      </c>
      <c r="L128" s="10">
        <f t="shared" si="15"/>
        <v>0</v>
      </c>
    </row>
    <row r="129" spans="1:12" ht="18" x14ac:dyDescent="0.2">
      <c r="A129" s="2" t="s">
        <v>126</v>
      </c>
      <c r="B129" s="6">
        <v>3334.67</v>
      </c>
      <c r="C129" s="6">
        <v>1376.89</v>
      </c>
      <c r="D129" s="6">
        <v>2395.4699999999998</v>
      </c>
      <c r="E129" s="6">
        <v>2684.71</v>
      </c>
      <c r="F129" s="6">
        <v>3344.28</v>
      </c>
      <c r="G129" s="6">
        <v>6580.39</v>
      </c>
      <c r="H129" s="10">
        <f t="shared" si="11"/>
        <v>4.8418651519639443E-2</v>
      </c>
      <c r="I129" s="10">
        <f t="shared" si="12"/>
        <v>1.9992130283019417E-2</v>
      </c>
      <c r="J129" s="10">
        <f t="shared" si="13"/>
        <v>3.4781680692767408E-2</v>
      </c>
      <c r="K129" s="10">
        <f t="shared" si="14"/>
        <v>3.8981379843070291E-2</v>
      </c>
      <c r="L129" s="10">
        <f t="shared" si="15"/>
        <v>4.8558186538428028E-2</v>
      </c>
    </row>
    <row r="130" spans="1:12" ht="18" x14ac:dyDescent="0.2">
      <c r="A130" s="2" t="s">
        <v>127</v>
      </c>
      <c r="B130" s="4">
        <v>912.66</v>
      </c>
      <c r="C130" s="4">
        <v>315.86</v>
      </c>
      <c r="D130" s="4">
        <v>454.81</v>
      </c>
      <c r="E130" s="4">
        <v>622.42999999999995</v>
      </c>
      <c r="F130" s="4">
        <v>948.55</v>
      </c>
      <c r="G130" s="6">
        <v>2163.9299999999998</v>
      </c>
      <c r="H130" s="10">
        <f t="shared" si="11"/>
        <v>1.3251616050737894E-2</v>
      </c>
      <c r="I130" s="10">
        <f t="shared" si="12"/>
        <v>4.5862155082791742E-3</v>
      </c>
      <c r="J130" s="10">
        <f t="shared" si="13"/>
        <v>6.6037379703680465E-3</v>
      </c>
      <c r="K130" s="10">
        <f t="shared" si="14"/>
        <v>9.0375423251383719E-3</v>
      </c>
      <c r="L130" s="10">
        <f t="shared" si="15"/>
        <v>1.3772730704673622E-2</v>
      </c>
    </row>
    <row r="131" spans="1:12" ht="18" x14ac:dyDescent="0.2">
      <c r="A131" s="2" t="s">
        <v>128</v>
      </c>
      <c r="B131" s="4">
        <v>968.39</v>
      </c>
      <c r="C131" s="4">
        <v>636.36</v>
      </c>
      <c r="D131" s="4">
        <v>870.58</v>
      </c>
      <c r="E131" s="4">
        <v>885.82</v>
      </c>
      <c r="F131" s="6">
        <v>1075.02</v>
      </c>
      <c r="G131" s="6">
        <v>1343.34</v>
      </c>
      <c r="H131" s="10">
        <f t="shared" ref="H131:H143" si="16">B131/$B$37</f>
        <v>1.4060803001527478E-2</v>
      </c>
      <c r="I131" s="10">
        <f t="shared" ref="I131:I143" si="17">C131/$B$37</f>
        <v>9.2398027634032018E-3</v>
      </c>
      <c r="J131" s="10">
        <f t="shared" ref="J131:J143" si="18">D131/$B$37</f>
        <v>1.2640624001765605E-2</v>
      </c>
      <c r="K131" s="10">
        <f t="shared" ref="K131:K143" si="19">E131/$B$37</f>
        <v>1.2861905342695682E-2</v>
      </c>
      <c r="L131" s="10">
        <f t="shared" ref="L131:L143" si="20">F131/$B$37</f>
        <v>1.5609046399386683E-2</v>
      </c>
    </row>
    <row r="132" spans="1:12" ht="18" x14ac:dyDescent="0.2">
      <c r="A132" s="2" t="s">
        <v>129</v>
      </c>
      <c r="B132" s="6">
        <v>1048.4100000000001</v>
      </c>
      <c r="C132" s="4">
        <v>368.03</v>
      </c>
      <c r="D132" s="4">
        <v>850.12</v>
      </c>
      <c r="E132" s="4">
        <v>987.23</v>
      </c>
      <c r="F132" s="4">
        <v>953.92</v>
      </c>
      <c r="G132" s="6">
        <v>1916</v>
      </c>
      <c r="H132" s="10">
        <f t="shared" si="16"/>
        <v>1.5222675239140662E-2</v>
      </c>
      <c r="I132" s="10">
        <f t="shared" si="17"/>
        <v>5.3437120670929662E-3</v>
      </c>
      <c r="J132" s="10">
        <f t="shared" si="18"/>
        <v>1.2343549445635064E-2</v>
      </c>
      <c r="K132" s="10">
        <f t="shared" si="19"/>
        <v>1.4334355525354427E-2</v>
      </c>
      <c r="L132" s="10">
        <f t="shared" si="20"/>
        <v>1.3850701885828119E-2</v>
      </c>
    </row>
    <row r="133" spans="1:12" ht="18" x14ac:dyDescent="0.2">
      <c r="A133" s="2" t="s">
        <v>130</v>
      </c>
      <c r="B133" s="4">
        <v>906.84</v>
      </c>
      <c r="C133" s="4">
        <v>299.92</v>
      </c>
      <c r="D133" s="4">
        <v>760.12</v>
      </c>
      <c r="E133" s="4">
        <v>887.94</v>
      </c>
      <c r="F133" s="4">
        <v>796.35</v>
      </c>
      <c r="G133" s="6">
        <v>1653.92</v>
      </c>
      <c r="H133" s="10">
        <f t="shared" si="16"/>
        <v>1.3167110971721289E-2</v>
      </c>
      <c r="I133" s="10">
        <f t="shared" si="17"/>
        <v>4.3547703262302598E-3</v>
      </c>
      <c r="J133" s="10">
        <f t="shared" si="18"/>
        <v>1.103676987321334E-2</v>
      </c>
      <c r="K133" s="10">
        <f t="shared" si="19"/>
        <v>1.2892687261512728E-2</v>
      </c>
      <c r="L133" s="10">
        <f t="shared" si="20"/>
        <v>1.156282124997822E-2</v>
      </c>
    </row>
    <row r="134" spans="1:12" ht="18" x14ac:dyDescent="0.2">
      <c r="A134" s="2" t="s">
        <v>131</v>
      </c>
      <c r="B134" s="4">
        <v>141.56</v>
      </c>
      <c r="C134" s="4">
        <v>68.11</v>
      </c>
      <c r="D134" s="4">
        <v>90</v>
      </c>
      <c r="E134" s="4">
        <v>99.3</v>
      </c>
      <c r="F134" s="4">
        <v>157.57</v>
      </c>
      <c r="G134" s="4">
        <v>262.08</v>
      </c>
      <c r="H134" s="10">
        <f t="shared" si="16"/>
        <v>2.0554190696891023E-3</v>
      </c>
      <c r="I134" s="10">
        <f t="shared" si="17"/>
        <v>9.8894174086270681E-4</v>
      </c>
      <c r="J134" s="10">
        <f t="shared" si="18"/>
        <v>1.3067795724217238E-3</v>
      </c>
      <c r="K134" s="10">
        <f t="shared" si="19"/>
        <v>1.4418134615719685E-3</v>
      </c>
      <c r="L134" s="10">
        <f t="shared" si="20"/>
        <v>2.2878806358499E-3</v>
      </c>
    </row>
    <row r="135" spans="1:12" ht="18" x14ac:dyDescent="0.2">
      <c r="A135" s="2" t="s">
        <v>132</v>
      </c>
      <c r="B135" s="4">
        <v>405.22</v>
      </c>
      <c r="C135" s="4">
        <v>56.64</v>
      </c>
      <c r="D135" s="4">
        <v>219.96</v>
      </c>
      <c r="E135" s="4">
        <v>189.23</v>
      </c>
      <c r="F135" s="4">
        <v>366.79</v>
      </c>
      <c r="G135" s="6">
        <v>1157.1199999999999</v>
      </c>
      <c r="H135" s="10">
        <f t="shared" si="16"/>
        <v>5.8837024259636769E-3</v>
      </c>
      <c r="I135" s="10">
        <f t="shared" si="17"/>
        <v>8.2239994424407152E-4</v>
      </c>
      <c r="J135" s="10">
        <f t="shared" si="18"/>
        <v>3.193769274998693E-3</v>
      </c>
      <c r="K135" s="10">
        <f t="shared" si="19"/>
        <v>2.7475766498818088E-3</v>
      </c>
      <c r="L135" s="10">
        <f t="shared" si="20"/>
        <v>5.3257075485396007E-3</v>
      </c>
    </row>
    <row r="136" spans="1:12" ht="18" x14ac:dyDescent="0.2">
      <c r="A136" s="1"/>
      <c r="H136" s="10">
        <f t="shared" si="16"/>
        <v>0</v>
      </c>
      <c r="I136" s="10">
        <f t="shared" si="17"/>
        <v>0</v>
      </c>
      <c r="J136" s="10">
        <f t="shared" si="18"/>
        <v>0</v>
      </c>
      <c r="K136" s="10">
        <f t="shared" si="19"/>
        <v>0</v>
      </c>
      <c r="L136" s="10">
        <f t="shared" si="20"/>
        <v>0</v>
      </c>
    </row>
    <row r="137" spans="1:12" ht="18" x14ac:dyDescent="0.2">
      <c r="A137" s="2" t="s">
        <v>133</v>
      </c>
      <c r="B137" s="4">
        <v>901.47</v>
      </c>
      <c r="C137" s="4">
        <v>534.99</v>
      </c>
      <c r="D137" s="4">
        <v>573.6</v>
      </c>
      <c r="E137" s="4">
        <v>791.84</v>
      </c>
      <c r="F137" s="6">
        <v>1001.64</v>
      </c>
      <c r="G137" s="6">
        <v>1509.75</v>
      </c>
      <c r="H137" s="10">
        <f t="shared" si="16"/>
        <v>1.3089139790566794E-2</v>
      </c>
      <c r="I137" s="10">
        <f t="shared" si="17"/>
        <v>7.7679333716655337E-3</v>
      </c>
      <c r="J137" s="10">
        <f t="shared" si="18"/>
        <v>8.3285418082344534E-3</v>
      </c>
      <c r="K137" s="10">
        <f t="shared" si="19"/>
        <v>1.1497337073626865E-2</v>
      </c>
      <c r="L137" s="10">
        <f t="shared" si="20"/>
        <v>1.4543585454672171E-2</v>
      </c>
    </row>
    <row r="138" spans="1:12" ht="18" x14ac:dyDescent="0.2">
      <c r="A138" s="1"/>
      <c r="H138" s="10">
        <f t="shared" si="16"/>
        <v>0</v>
      </c>
      <c r="I138" s="10">
        <f t="shared" si="17"/>
        <v>0</v>
      </c>
      <c r="J138" s="10">
        <f t="shared" si="18"/>
        <v>0</v>
      </c>
      <c r="K138" s="10">
        <f t="shared" si="19"/>
        <v>0</v>
      </c>
      <c r="L138" s="10">
        <f t="shared" si="20"/>
        <v>0</v>
      </c>
    </row>
    <row r="139" spans="1:12" ht="18" x14ac:dyDescent="0.2">
      <c r="A139" s="2" t="s">
        <v>134</v>
      </c>
      <c r="B139" s="4">
        <v>97.96</v>
      </c>
      <c r="C139" s="4">
        <v>55.64</v>
      </c>
      <c r="D139" s="4">
        <v>81.790000000000006</v>
      </c>
      <c r="E139" s="4">
        <v>72.66</v>
      </c>
      <c r="F139" s="4">
        <v>102.47</v>
      </c>
      <c r="G139" s="4">
        <v>167.34</v>
      </c>
      <c r="H139" s="10">
        <f t="shared" si="16"/>
        <v>1.4223569657159118E-3</v>
      </c>
      <c r="I139" s="10">
        <f t="shared" si="17"/>
        <v>8.0788017121716346E-4</v>
      </c>
      <c r="J139" s="10">
        <f t="shared" si="18"/>
        <v>1.1875722358708088E-3</v>
      </c>
      <c r="K139" s="10">
        <f t="shared" si="19"/>
        <v>1.0550067081351382E-3</v>
      </c>
      <c r="L139" s="10">
        <f t="shared" si="20"/>
        <v>1.487841142067267E-3</v>
      </c>
    </row>
    <row r="140" spans="1:12" ht="18" x14ac:dyDescent="0.2">
      <c r="A140" s="1"/>
      <c r="H140" s="10">
        <f t="shared" si="16"/>
        <v>0</v>
      </c>
      <c r="I140" s="10">
        <f t="shared" si="17"/>
        <v>0</v>
      </c>
      <c r="J140" s="10">
        <f t="shared" si="18"/>
        <v>0</v>
      </c>
      <c r="K140" s="10">
        <f t="shared" si="19"/>
        <v>0</v>
      </c>
      <c r="L140" s="10">
        <f t="shared" si="20"/>
        <v>0</v>
      </c>
    </row>
    <row r="141" spans="1:12" ht="18" x14ac:dyDescent="0.2">
      <c r="A141" s="2" t="s">
        <v>135</v>
      </c>
      <c r="B141" s="6">
        <v>1868.76</v>
      </c>
      <c r="C141" s="4">
        <v>778.42</v>
      </c>
      <c r="D141" s="4">
        <v>406.28</v>
      </c>
      <c r="E141" s="6">
        <v>1209.83</v>
      </c>
      <c r="F141" s="6">
        <v>1395.68</v>
      </c>
      <c r="G141" s="6">
        <v>5483.99</v>
      </c>
      <c r="H141" s="10">
        <f t="shared" si="16"/>
        <v>2.7133971041764671E-2</v>
      </c>
      <c r="I141" s="10">
        <f t="shared" si="17"/>
        <v>1.1302481719605758E-2</v>
      </c>
      <c r="J141" s="10">
        <f t="shared" si="18"/>
        <v>5.8990933853721988E-3</v>
      </c>
      <c r="K141" s="10">
        <f t="shared" si="19"/>
        <v>1.7566457001144155E-2</v>
      </c>
      <c r="L141" s="10">
        <f t="shared" si="20"/>
        <v>2.0264956818195016E-2</v>
      </c>
    </row>
    <row r="142" spans="1:12" ht="18" x14ac:dyDescent="0.2">
      <c r="A142" s="1"/>
      <c r="H142" s="10">
        <f t="shared" si="16"/>
        <v>0</v>
      </c>
      <c r="I142" s="10">
        <f t="shared" si="17"/>
        <v>0</v>
      </c>
      <c r="J142" s="10">
        <f t="shared" si="18"/>
        <v>0</v>
      </c>
      <c r="K142" s="10">
        <f t="shared" si="19"/>
        <v>0</v>
      </c>
      <c r="L142" s="10">
        <f t="shared" si="20"/>
        <v>0</v>
      </c>
    </row>
    <row r="143" spans="1:12" ht="18" x14ac:dyDescent="0.2">
      <c r="A143" s="2" t="s">
        <v>136</v>
      </c>
      <c r="B143" s="4">
        <v>216.58</v>
      </c>
      <c r="C143" s="4">
        <v>177.18</v>
      </c>
      <c r="D143" s="4">
        <v>237.01</v>
      </c>
      <c r="E143" s="4">
        <v>225.13</v>
      </c>
      <c r="F143" s="4">
        <v>268.13</v>
      </c>
      <c r="G143" s="4">
        <v>170.47</v>
      </c>
      <c r="H143" s="10">
        <f t="shared" si="16"/>
        <v>3.144692442167744E-3</v>
      </c>
      <c r="I143" s="10">
        <f t="shared" si="17"/>
        <v>2.5726133849075668E-3</v>
      </c>
      <c r="J143" s="10">
        <f t="shared" si="18"/>
        <v>3.4413314051074751E-3</v>
      </c>
      <c r="K143" s="10">
        <f t="shared" si="19"/>
        <v>3.2688365015478074E-3</v>
      </c>
      <c r="L143" s="10">
        <f t="shared" si="20"/>
        <v>3.8931867417048532E-3</v>
      </c>
    </row>
    <row r="144" spans="1:12" ht="18" x14ac:dyDescent="0.2">
      <c r="A144" s="1"/>
    </row>
    <row r="145" spans="1:13" ht="18" x14ac:dyDescent="0.2">
      <c r="A145" s="2" t="s">
        <v>137</v>
      </c>
      <c r="B145" s="4">
        <v>835.55</v>
      </c>
      <c r="C145" s="4">
        <v>464.57</v>
      </c>
      <c r="D145" s="4">
        <v>484.52</v>
      </c>
      <c r="E145" s="4">
        <v>870.33</v>
      </c>
      <c r="F145" s="4">
        <v>707.96</v>
      </c>
      <c r="G145" s="6">
        <v>1597.77</v>
      </c>
      <c r="H145" s="10">
        <f t="shared" ref="H145" si="21">B145/$B$37</f>
        <v>1.2131996352633014E-2</v>
      </c>
      <c r="I145" s="10">
        <f t="shared" ref="I145" si="22">C145/$B$37</f>
        <v>6.7454509551106694E-3</v>
      </c>
      <c r="J145" s="10">
        <f t="shared" ref="J145" si="23">D145/$B$37</f>
        <v>7.035120426997484E-3</v>
      </c>
      <c r="K145" s="10">
        <f t="shared" ref="K145" si="24">E145/$B$37</f>
        <v>1.2636994058508877E-2</v>
      </c>
      <c r="L145" s="10">
        <f t="shared" ref="L145" si="25">F145/$B$37</f>
        <v>1.0279418512129818E-2</v>
      </c>
      <c r="M145" t="s">
        <v>189</v>
      </c>
    </row>
    <row r="146" spans="1:13" ht="18" x14ac:dyDescent="0.2">
      <c r="A146" s="1"/>
      <c r="H146" s="11">
        <f>H145+H99+H66+H97+H91+H110+H80+H82+H93</f>
        <v>0.27580570220526313</v>
      </c>
      <c r="I146" s="11">
        <f t="shared" ref="I146:L146" si="26">I145+I99+I66+I97+I91+I110+I80+I82+I93</f>
        <v>0.1166190418111384</v>
      </c>
      <c r="J146" s="11">
        <f t="shared" si="26"/>
        <v>0.17937161326294149</v>
      </c>
      <c r="K146" s="11">
        <f t="shared" si="26"/>
        <v>0.23485703831477706</v>
      </c>
      <c r="L146" s="11">
        <f t="shared" si="26"/>
        <v>0.31550087409033623</v>
      </c>
      <c r="M146" s="11">
        <f>AVERAGE(H146:L146)</f>
        <v>0.22443085393689124</v>
      </c>
    </row>
    <row r="147" spans="1:13" ht="18" x14ac:dyDescent="0.2">
      <c r="A147" s="2" t="s">
        <v>138</v>
      </c>
      <c r="B147" s="6">
        <v>1680.39</v>
      </c>
      <c r="C147" s="4">
        <v>429.21</v>
      </c>
      <c r="D147" s="6">
        <v>1138.75</v>
      </c>
      <c r="E147" s="6">
        <v>1229.57</v>
      </c>
      <c r="F147" s="6">
        <v>1751.87</v>
      </c>
      <c r="G147" s="6">
        <v>3755.96</v>
      </c>
    </row>
    <row r="148" spans="1:13" ht="18" x14ac:dyDescent="0.2">
      <c r="A148" s="1"/>
    </row>
    <row r="149" spans="1:13" ht="18" x14ac:dyDescent="0.2">
      <c r="A149" s="2" t="s">
        <v>139</v>
      </c>
      <c r="B149" s="6">
        <v>8500.9599999999991</v>
      </c>
      <c r="C149" s="4">
        <v>944.83</v>
      </c>
      <c r="D149" s="6">
        <v>3487.85</v>
      </c>
      <c r="E149" s="6">
        <v>5911.31</v>
      </c>
      <c r="F149" s="6">
        <v>9494.2199999999993</v>
      </c>
      <c r="G149" s="6">
        <v>22004.12</v>
      </c>
    </row>
    <row r="150" spans="1:13" ht="18" x14ac:dyDescent="0.2">
      <c r="A150" s="2" t="s">
        <v>140</v>
      </c>
      <c r="B150" s="4">
        <v>352.78</v>
      </c>
      <c r="C150" s="4">
        <v>100.27</v>
      </c>
      <c r="D150" s="4">
        <v>200.36</v>
      </c>
      <c r="E150" s="4">
        <v>262.8</v>
      </c>
      <c r="F150" s="4">
        <v>370.28</v>
      </c>
      <c r="G150" s="4">
        <v>809.53</v>
      </c>
    </row>
    <row r="151" spans="1:13" ht="18" x14ac:dyDescent="0.2">
      <c r="A151" s="2" t="s">
        <v>141</v>
      </c>
      <c r="B151" s="6">
        <v>8148.18</v>
      </c>
      <c r="C151" s="4">
        <v>844.56</v>
      </c>
      <c r="D151" s="6">
        <v>3287.49</v>
      </c>
      <c r="E151" s="6">
        <v>5648.51</v>
      </c>
      <c r="F151" s="6">
        <v>9123.94</v>
      </c>
      <c r="G151" s="6">
        <v>21194.59</v>
      </c>
    </row>
    <row r="152" spans="1:13" ht="18" x14ac:dyDescent="0.2">
      <c r="A152" s="1"/>
    </row>
    <row r="153" spans="1:13" ht="18" x14ac:dyDescent="0.2">
      <c r="A153" s="2" t="s">
        <v>180</v>
      </c>
      <c r="B153" s="4"/>
    </row>
    <row r="154" spans="1:13" ht="18" x14ac:dyDescent="0.2">
      <c r="A154" s="2" t="s">
        <v>181</v>
      </c>
      <c r="B154" s="6">
        <v>86778.96</v>
      </c>
      <c r="C154" s="6">
        <v>12854.65</v>
      </c>
      <c r="D154" s="6">
        <v>34499.97</v>
      </c>
      <c r="E154" s="6">
        <v>60907.33</v>
      </c>
      <c r="F154" s="6">
        <v>99189.45</v>
      </c>
      <c r="G154" s="6">
        <v>219758.52</v>
      </c>
    </row>
    <row r="155" spans="1:13" ht="18" x14ac:dyDescent="0.2">
      <c r="A155" s="2" t="s">
        <v>143</v>
      </c>
      <c r="B155" s="6">
        <v>68447.37</v>
      </c>
      <c r="C155" s="6">
        <v>3932.79</v>
      </c>
      <c r="D155" s="6">
        <v>21135.42</v>
      </c>
      <c r="E155" s="6">
        <v>46378.06</v>
      </c>
      <c r="F155" s="6">
        <v>80010.740000000005</v>
      </c>
      <c r="G155" s="6">
        <v>184835.91</v>
      </c>
    </row>
    <row r="156" spans="1:13" ht="18" x14ac:dyDescent="0.2">
      <c r="A156" s="2" t="s">
        <v>144</v>
      </c>
      <c r="B156" s="6">
        <v>6453.26</v>
      </c>
      <c r="C156" s="4">
        <v>496.44</v>
      </c>
      <c r="D156" s="6">
        <v>1645.11</v>
      </c>
      <c r="E156" s="6">
        <v>3434.8</v>
      </c>
      <c r="F156" s="6">
        <v>5407.63</v>
      </c>
      <c r="G156" s="6">
        <v>20909.060000000001</v>
      </c>
    </row>
    <row r="157" spans="1:13" ht="18" x14ac:dyDescent="0.2">
      <c r="A157" s="2" t="s">
        <v>145</v>
      </c>
      <c r="B157" s="6">
        <v>7942.18</v>
      </c>
      <c r="C157" s="6">
        <v>6249.21</v>
      </c>
      <c r="D157" s="6">
        <v>9228.5300000000007</v>
      </c>
      <c r="E157" s="6">
        <v>7747</v>
      </c>
      <c r="F157" s="6">
        <v>9356.11</v>
      </c>
      <c r="G157" s="6">
        <v>6938.53</v>
      </c>
    </row>
    <row r="158" spans="1:13" ht="18" x14ac:dyDescent="0.2">
      <c r="A158" s="2" t="s">
        <v>185</v>
      </c>
      <c r="B158" s="6">
        <v>2342.38</v>
      </c>
      <c r="C158" s="4">
        <v>134.62</v>
      </c>
      <c r="D158" s="4">
        <v>662.31</v>
      </c>
      <c r="E158" s="6">
        <v>1497.25</v>
      </c>
      <c r="F158" s="6">
        <v>3069.97</v>
      </c>
      <c r="G158" s="6">
        <v>6127.85</v>
      </c>
    </row>
    <row r="159" spans="1:13" ht="18" x14ac:dyDescent="0.2">
      <c r="A159" s="2" t="s">
        <v>147</v>
      </c>
      <c r="B159" s="4">
        <v>549.61</v>
      </c>
      <c r="C159" s="6">
        <v>1199.19</v>
      </c>
      <c r="D159" s="4">
        <v>960.36</v>
      </c>
      <c r="E159" s="4">
        <v>357.11</v>
      </c>
      <c r="F159" s="4">
        <v>232.75</v>
      </c>
      <c r="G159" s="4">
        <v>92.93</v>
      </c>
    </row>
    <row r="160" spans="1:13" ht="18" x14ac:dyDescent="0.2">
      <c r="A160" s="2" t="s">
        <v>148</v>
      </c>
      <c r="B160" s="4">
        <v>572.07000000000005</v>
      </c>
      <c r="C160" s="4">
        <v>338.59</v>
      </c>
      <c r="D160" s="4">
        <v>591.6</v>
      </c>
      <c r="E160" s="4">
        <v>693.64</v>
      </c>
      <c r="F160" s="4">
        <v>753.22</v>
      </c>
      <c r="G160" s="4">
        <v>445.92</v>
      </c>
    </row>
    <row r="161" spans="1:7" ht="18" x14ac:dyDescent="0.2">
      <c r="A161" s="2" t="s">
        <v>149</v>
      </c>
      <c r="B161" s="4">
        <v>472.09</v>
      </c>
      <c r="C161" s="4">
        <v>503.81</v>
      </c>
      <c r="D161" s="4">
        <v>276.63</v>
      </c>
      <c r="E161" s="4">
        <v>799.47</v>
      </c>
      <c r="F161" s="4">
        <v>359.02</v>
      </c>
      <c r="G161" s="4">
        <v>408.31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9DBB-4178-A446-975E-C4A9560ED4EA}">
  <dimension ref="B2:H8"/>
  <sheetViews>
    <sheetView workbookViewId="0">
      <selection activeCell="D14" sqref="D14"/>
    </sheetView>
  </sheetViews>
  <sheetFormatPr baseColWidth="10" defaultRowHeight="16" x14ac:dyDescent="0.2"/>
  <cols>
    <col min="3" max="3" width="23.33203125" bestFit="1" customWidth="1"/>
    <col min="4" max="4" width="23.5" bestFit="1" customWidth="1"/>
    <col min="5" max="5" width="21" bestFit="1" customWidth="1"/>
    <col min="6" max="6" width="22.83203125" bestFit="1" customWidth="1"/>
    <col min="7" max="7" width="24" bestFit="1" customWidth="1"/>
    <col min="8" max="8" width="17" customWidth="1"/>
  </cols>
  <sheetData>
    <row r="2" spans="2:8" ht="18" x14ac:dyDescent="0.2">
      <c r="B2" s="7" t="s">
        <v>187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2:8" ht="18" x14ac:dyDescent="0.2">
      <c r="B3" s="7">
        <v>2017</v>
      </c>
      <c r="C3" s="9">
        <v>31857.62</v>
      </c>
      <c r="D3" s="9">
        <v>46381.3</v>
      </c>
      <c r="E3" s="9">
        <v>57389.24</v>
      </c>
      <c r="F3" s="9">
        <v>74997.25</v>
      </c>
      <c r="G3" s="9">
        <v>128292.69</v>
      </c>
    </row>
    <row r="4" spans="2:8" ht="18" x14ac:dyDescent="0.2">
      <c r="B4" s="7">
        <v>2018</v>
      </c>
      <c r="C4" s="9">
        <v>31835.05</v>
      </c>
      <c r="D4" s="9">
        <v>46612.1</v>
      </c>
      <c r="E4" s="9">
        <v>59225.96</v>
      </c>
      <c r="F4" s="9">
        <v>79539.009999999995</v>
      </c>
      <c r="G4" s="9">
        <v>127346.73</v>
      </c>
      <c r="H4" s="5"/>
    </row>
    <row r="5" spans="2:8" ht="18" x14ac:dyDescent="0.2">
      <c r="B5" s="7">
        <v>2019</v>
      </c>
      <c r="C5" s="9">
        <v>32900.86</v>
      </c>
      <c r="D5" s="9">
        <v>47336.72</v>
      </c>
      <c r="E5" s="9">
        <v>59302.43</v>
      </c>
      <c r="F5" s="9">
        <v>82786.720000000001</v>
      </c>
      <c r="G5" s="9">
        <v>129505.63</v>
      </c>
    </row>
    <row r="6" spans="2:8" ht="18" x14ac:dyDescent="0.2">
      <c r="B6" s="7">
        <v>2020</v>
      </c>
      <c r="C6" s="9">
        <v>35374</v>
      </c>
      <c r="D6" s="9">
        <v>48278.07</v>
      </c>
      <c r="E6" s="9">
        <v>62911.54</v>
      </c>
      <c r="F6" s="9">
        <v>85018.79</v>
      </c>
      <c r="G6" s="9">
        <v>131101.37</v>
      </c>
    </row>
    <row r="7" spans="2:8" ht="18" x14ac:dyDescent="0.2">
      <c r="B7" s="7">
        <v>2021</v>
      </c>
      <c r="C7" s="9">
        <v>39559.980000000003</v>
      </c>
      <c r="D7" s="9">
        <v>52890.59</v>
      </c>
      <c r="E7" s="9">
        <v>70585.03</v>
      </c>
      <c r="F7" s="9">
        <v>90558.18</v>
      </c>
      <c r="G7" s="9">
        <v>141154.6</v>
      </c>
    </row>
    <row r="8" spans="2:8" ht="18" x14ac:dyDescent="0.2">
      <c r="B8" s="7">
        <v>2022</v>
      </c>
      <c r="C8" s="9">
        <v>41965.09</v>
      </c>
      <c r="D8" s="9">
        <v>57681.25</v>
      </c>
      <c r="E8" s="9">
        <v>81265.73</v>
      </c>
      <c r="F8" s="9">
        <v>101307.94</v>
      </c>
      <c r="G8" s="9">
        <v>159084.69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EEB8-0B0C-4C40-A8BD-0A007F0B9B88}">
  <dimension ref="C4:H11"/>
  <sheetViews>
    <sheetView tabSelected="1" workbookViewId="0">
      <selection activeCell="G26" sqref="G26"/>
    </sheetView>
  </sheetViews>
  <sheetFormatPr baseColWidth="10" defaultRowHeight="16" x14ac:dyDescent="0.2"/>
  <sheetData>
    <row r="4" spans="3:8" x14ac:dyDescent="0.2">
      <c r="D4" t="s">
        <v>190</v>
      </c>
      <c r="E4" t="s">
        <v>191</v>
      </c>
      <c r="F4" t="s">
        <v>192</v>
      </c>
      <c r="G4" t="s">
        <v>193</v>
      </c>
      <c r="H4" t="s">
        <v>194</v>
      </c>
    </row>
    <row r="5" spans="3:8" x14ac:dyDescent="0.2">
      <c r="C5">
        <v>2017</v>
      </c>
      <c r="D5" s="14">
        <v>0.27580570220526313</v>
      </c>
      <c r="E5" s="14">
        <v>0.15898685607486396</v>
      </c>
      <c r="F5" s="14">
        <v>0.17937161326294149</v>
      </c>
      <c r="G5" s="14">
        <v>0.23485703831477706</v>
      </c>
      <c r="H5" s="14">
        <v>0.31550087409033623</v>
      </c>
    </row>
    <row r="6" spans="3:8" x14ac:dyDescent="0.2">
      <c r="C6">
        <v>2018</v>
      </c>
      <c r="D6" s="14">
        <v>0.31068362286592649</v>
      </c>
      <c r="E6" s="14">
        <v>0.18</v>
      </c>
      <c r="F6" s="14">
        <v>0.20687923255288332</v>
      </c>
      <c r="G6" s="14">
        <v>0.27056145832431799</v>
      </c>
      <c r="H6" s="14">
        <v>0.35421062884291421</v>
      </c>
    </row>
    <row r="7" spans="3:8" x14ac:dyDescent="0.2">
      <c r="C7">
        <v>2019</v>
      </c>
      <c r="D7" s="14">
        <v>0.2935874149815933</v>
      </c>
      <c r="E7" s="14">
        <v>0.16</v>
      </c>
      <c r="F7" s="14">
        <v>0.20879525344044389</v>
      </c>
      <c r="G7" s="14">
        <v>0.25538128130283316</v>
      </c>
      <c r="H7" s="14">
        <v>0.35440606238153893</v>
      </c>
    </row>
    <row r="8" spans="3:8" x14ac:dyDescent="0.2">
      <c r="C8">
        <v>2020</v>
      </c>
      <c r="D8" s="14">
        <v>0.29933655248223268</v>
      </c>
      <c r="E8" s="14">
        <v>0.13530553925343766</v>
      </c>
      <c r="F8" s="14">
        <v>0.20432662885065955</v>
      </c>
      <c r="G8" s="14">
        <v>0.26494640493798471</v>
      </c>
      <c r="H8" s="14">
        <v>0.37671590235913771</v>
      </c>
    </row>
    <row r="9" spans="3:8" x14ac:dyDescent="0.2">
      <c r="C9">
        <v>2021</v>
      </c>
      <c r="D9" s="14">
        <v>0.29739728895442269</v>
      </c>
      <c r="E9" s="14">
        <v>0.14000000000000001</v>
      </c>
      <c r="F9" s="14">
        <v>0.20467639094510082</v>
      </c>
      <c r="G9" s="14">
        <v>0.26663147408725923</v>
      </c>
      <c r="H9" s="14">
        <v>0.34257517291428091</v>
      </c>
    </row>
    <row r="10" spans="3:8" x14ac:dyDescent="0.2">
      <c r="C10">
        <v>2022</v>
      </c>
      <c r="D10" s="14">
        <v>0.281285221399598</v>
      </c>
      <c r="E10" s="14">
        <v>0.17</v>
      </c>
      <c r="F10" s="14">
        <v>0.19577390467876413</v>
      </c>
      <c r="G10" s="14">
        <v>0.2549719340875034</v>
      </c>
      <c r="H10" s="14">
        <v>0.30931855019197141</v>
      </c>
    </row>
    <row r="11" spans="3:8" x14ac:dyDescent="0.2">
      <c r="D11" s="14">
        <f>AVERAGE(D5:D10)</f>
        <v>0.29301596714817274</v>
      </c>
      <c r="E11" s="14">
        <f t="shared" ref="E11:H11" si="0">AVERAGE(E5:E10)</f>
        <v>0.15738206588805029</v>
      </c>
      <c r="F11" s="14">
        <f t="shared" si="0"/>
        <v>0.19997050395513219</v>
      </c>
      <c r="G11" s="14">
        <f t="shared" si="0"/>
        <v>0.25789159850911259</v>
      </c>
      <c r="H11" s="14">
        <f t="shared" si="0"/>
        <v>0.34212119846336325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YR2022_23</vt:lpstr>
      <vt:lpstr>YR2021_22</vt:lpstr>
      <vt:lpstr>YR2020_21</vt:lpstr>
      <vt:lpstr>YR2019_20</vt:lpstr>
      <vt:lpstr>YR2018_19</vt:lpstr>
      <vt:lpstr>YR2017_18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2025-10-29T01:37:33Z</dcterms:created>
  <dcterms:modified xsi:type="dcterms:W3CDTF">2025-11-13T09:39:31Z</dcterms:modified>
</cp:coreProperties>
</file>